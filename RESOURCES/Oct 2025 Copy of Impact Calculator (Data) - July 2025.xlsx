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586ea64e7ddb75f/Documents/Data ChangeMakers/projects/eco footprint visualizer/"/>
    </mc:Choice>
  </mc:AlternateContent>
  <xr:revisionPtr revIDLastSave="23" documentId="11_C7B4DE9078C2692A1E2618687185B758581CD827" xr6:coauthVersionLast="47" xr6:coauthVersionMax="47" xr10:uidLastSave="{9A7EFF96-7783-4EBF-92FA-4C268B1C965C}"/>
  <bookViews>
    <workbookView xWindow="11868" yWindow="1014" windowWidth="10590" windowHeight="7638" xr2:uid="{00000000-000D-0000-FFFF-FFFF00000000}"/>
  </bookViews>
  <sheets>
    <sheet name="Calculator" sheetId="1" r:id="rId1"/>
    <sheet name="Data Source" sheetId="2" r:id="rId2"/>
    <sheet name="Enhanc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2Ce5YAZPy8dnctPFyXM5qV5TkP2pdjivHLX9NqB4nI="/>
    </ext>
  </extLst>
</workbook>
</file>

<file path=xl/calcChain.xml><?xml version="1.0" encoding="utf-8"?>
<calcChain xmlns="http://schemas.openxmlformats.org/spreadsheetml/2006/main">
  <c r="C18" i="1" l="1"/>
  <c r="G2" i="2"/>
  <c r="J5" i="1"/>
  <c r="H5" i="1" s="1"/>
  <c r="K12" i="2"/>
  <c r="K11" i="2"/>
  <c r="K10" i="2"/>
  <c r="K9" i="2"/>
  <c r="K8" i="2"/>
  <c r="K7" i="2"/>
  <c r="K6" i="2"/>
  <c r="G6" i="2"/>
  <c r="K5" i="2"/>
  <c r="G5" i="2"/>
  <c r="K4" i="2"/>
  <c r="G4" i="2"/>
  <c r="J7" i="1" s="1"/>
  <c r="K3" i="2"/>
  <c r="G3" i="2"/>
  <c r="K2" i="2"/>
  <c r="H28" i="1"/>
  <c r="F28" i="1"/>
  <c r="E28" i="1"/>
  <c r="D28" i="1"/>
  <c r="C28" i="1"/>
  <c r="B28" i="1"/>
  <c r="H27" i="1"/>
  <c r="F27" i="1"/>
  <c r="E27" i="1"/>
  <c r="D27" i="1"/>
  <c r="C27" i="1"/>
  <c r="B27" i="1"/>
  <c r="H26" i="1"/>
  <c r="F26" i="1"/>
  <c r="E26" i="1"/>
  <c r="D26" i="1"/>
  <c r="C26" i="1"/>
  <c r="B26" i="1"/>
  <c r="H25" i="1"/>
  <c r="F25" i="1"/>
  <c r="E25" i="1"/>
  <c r="D25" i="1"/>
  <c r="C25" i="1"/>
  <c r="B25" i="1"/>
  <c r="H24" i="1"/>
  <c r="F24" i="1"/>
  <c r="E24" i="1"/>
  <c r="D24" i="1"/>
  <c r="C24" i="1"/>
  <c r="B24" i="1"/>
  <c r="F23" i="1"/>
  <c r="E23" i="1"/>
  <c r="D23" i="1"/>
  <c r="C23" i="1"/>
  <c r="B23" i="1"/>
  <c r="F22" i="1"/>
  <c r="E22" i="1"/>
  <c r="F21" i="1"/>
  <c r="E21" i="1"/>
  <c r="F20" i="1"/>
  <c r="E20" i="1"/>
  <c r="F19" i="1"/>
  <c r="E19" i="1"/>
  <c r="F18" i="1"/>
  <c r="J15" i="1"/>
  <c r="E15" i="1" s="1"/>
  <c r="H15" i="1"/>
  <c r="F15" i="1"/>
  <c r="J14" i="1"/>
  <c r="F14" i="1" s="1"/>
  <c r="H14" i="1"/>
  <c r="J13" i="1"/>
  <c r="E13" i="1" s="1"/>
  <c r="H13" i="1"/>
  <c r="F13" i="1"/>
  <c r="C13" i="1"/>
  <c r="B13" i="1"/>
  <c r="J12" i="1"/>
  <c r="C12" i="1" s="1"/>
  <c r="H12" i="1"/>
  <c r="J11" i="1"/>
  <c r="C11" i="1" s="1"/>
  <c r="H11" i="1"/>
  <c r="J10" i="1"/>
  <c r="C10" i="1" s="1"/>
  <c r="H10" i="1"/>
  <c r="F11" i="1" l="1"/>
  <c r="D11" i="1"/>
  <c r="G11" i="1" s="1"/>
  <c r="G24" i="1" s="1"/>
  <c r="E11" i="1"/>
  <c r="D13" i="1"/>
  <c r="G13" i="1" s="1"/>
  <c r="H23" i="1"/>
  <c r="B15" i="1"/>
  <c r="E10" i="1"/>
  <c r="D15" i="1"/>
  <c r="G15" i="1" s="1"/>
  <c r="G28" i="1" s="1"/>
  <c r="D10" i="1"/>
  <c r="G10" i="1" s="1"/>
  <c r="G23" i="1" s="1"/>
  <c r="C15" i="1"/>
  <c r="F10" i="1"/>
  <c r="D12" i="1"/>
  <c r="G12" i="1" s="1"/>
  <c r="G25" i="1" s="1"/>
  <c r="E12" i="1"/>
  <c r="F12" i="1"/>
  <c r="B10" i="1"/>
  <c r="B5" i="1"/>
  <c r="B14" i="1"/>
  <c r="C14" i="1"/>
  <c r="D14" i="1"/>
  <c r="G14" i="1" s="1"/>
  <c r="G27" i="1" s="1"/>
  <c r="B11" i="1"/>
  <c r="E14" i="1"/>
  <c r="F5" i="1"/>
  <c r="E5" i="1"/>
  <c r="D5" i="1"/>
  <c r="G5" i="1" s="1"/>
  <c r="G18" i="1" s="1"/>
  <c r="C5" i="1"/>
  <c r="E7" i="1"/>
  <c r="B7" i="1"/>
  <c r="H7" i="1"/>
  <c r="F7" i="1"/>
  <c r="D7" i="1"/>
  <c r="G7" i="1" s="1"/>
  <c r="G20" i="1" s="1"/>
  <c r="C7" i="1"/>
  <c r="G26" i="1"/>
  <c r="J6" i="1"/>
  <c r="H19" i="1" s="1"/>
  <c r="D18" i="1"/>
  <c r="E18" i="1"/>
  <c r="J8" i="1"/>
  <c r="H21" i="1" s="1"/>
  <c r="B20" i="1"/>
  <c r="C20" i="1"/>
  <c r="D20" i="1"/>
  <c r="J9" i="1"/>
  <c r="H22" i="1" s="1"/>
  <c r="H20" i="1"/>
  <c r="B21" i="1"/>
  <c r="B18" i="1"/>
  <c r="C21" i="1"/>
  <c r="D21" i="1"/>
  <c r="H18" i="1"/>
  <c r="B22" i="1"/>
  <c r="B19" i="1"/>
  <c r="C22" i="1"/>
  <c r="C19" i="1"/>
  <c r="D22" i="1"/>
  <c r="D19" i="1"/>
  <c r="B12" i="1"/>
  <c r="E9" i="1" l="1"/>
  <c r="D9" i="1"/>
  <c r="C9" i="1"/>
  <c r="B9" i="1"/>
  <c r="F9" i="1"/>
  <c r="H9" i="1"/>
  <c r="H8" i="1"/>
  <c r="F8" i="1"/>
  <c r="E8" i="1"/>
  <c r="C8" i="1"/>
  <c r="B8" i="1"/>
  <c r="D8" i="1"/>
  <c r="G8" i="1" s="1"/>
  <c r="G21" i="1" s="1"/>
  <c r="G33" i="1"/>
  <c r="G31" i="1"/>
  <c r="G40" i="1"/>
  <c r="G39" i="1"/>
  <c r="G38" i="1"/>
  <c r="G37" i="1"/>
  <c r="G36" i="1"/>
  <c r="F6" i="1"/>
  <c r="E6" i="1"/>
  <c r="C6" i="1"/>
  <c r="B6" i="1"/>
  <c r="D6" i="1"/>
  <c r="G6" i="1" s="1"/>
  <c r="G19" i="1" s="1"/>
  <c r="H6" i="1"/>
  <c r="G34" i="1" l="1"/>
  <c r="G32" i="1"/>
  <c r="G9" i="1"/>
  <c r="G22" i="1" s="1"/>
  <c r="G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ID#AAABoxxuTa8
Arsallan Akram    (2025-08-04 19:52:20)
How many times better is each food group in terms of biodiversity loss, for the given "Plant-Based Shift %" and "Number of People" variable inputs Vs biodiversity loss in the scenario of a baseline US diet (relected as 0% plant based on the toggle)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cZTfJEU2LeFYwV46cmVFJ/ntYQ=="/>
    </ext>
  </extLst>
</comments>
</file>

<file path=xl/sharedStrings.xml><?xml version="1.0" encoding="utf-8"?>
<sst xmlns="http://schemas.openxmlformats.org/spreadsheetml/2006/main" count="240" uniqueCount="141">
  <si>
    <t>INPUTS</t>
  </si>
  <si>
    <t>Plant-based shift  (%)</t>
  </si>
  <si>
    <t xml:space="preserve">0% shift represents the baseline US diet
50% shift means gravitating 50% diet towards plant-based from the baseline diet
100% shift represents a vegan diet </t>
  </si>
  <si>
    <t>Number of people</t>
  </si>
  <si>
    <t>Food Group</t>
  </si>
  <si>
    <t>Total GHG Impact
(kg CO2e)</t>
  </si>
  <si>
    <t>Total Water Impact
(kl)</t>
  </si>
  <si>
    <t>Total Land Impact
(m2)</t>
  </si>
  <si>
    <t>Total Eutrophication Impact (g PO4 eq)</t>
  </si>
  <si>
    <t>Total Acidification Impact (g SO2 eq)</t>
  </si>
  <si>
    <t>Biodiversity Loss
(proxy index)</t>
  </si>
  <si>
    <t>Animals Slaughtered</t>
  </si>
  <si>
    <t>Adjusted Consumption (kg/year/person)</t>
  </si>
  <si>
    <t>Red Meat</t>
  </si>
  <si>
    <t>Pig Meat</t>
  </si>
  <si>
    <t>Poultry</t>
  </si>
  <si>
    <t>Fish &amp; Seafood</t>
  </si>
  <si>
    <t>Dairy</t>
  </si>
  <si>
    <t>Eggs</t>
  </si>
  <si>
    <t>Legumes &amp; Pulses</t>
  </si>
  <si>
    <t>Nuts &amp; Seeds</t>
  </si>
  <si>
    <t>Vegetables</t>
  </si>
  <si>
    <t>Fruits</t>
  </si>
  <si>
    <t>Grains &amp; Cereals</t>
  </si>
  <si>
    <t>Adjusted Consumption =
The amount of each food group consumed in kg per person per year given x (% plant-based shift i.e. the input in C1) and y (the # of people i.e. the input in C2)
Calc = Default Consumption (Data Source tab) * C1 * C2 = total kg eaten by food group given those inputs
Unit = kg/year/person
This "adjusted" number is derived from column G in the Data Source tab, and is used to calculate Total Impact by metric in row 4</t>
  </si>
  <si>
    <t>GHG Saved
(kg CO2e)</t>
  </si>
  <si>
    <t>Water Saved
(L)</t>
  </si>
  <si>
    <t>Land Saved
(m2)</t>
  </si>
  <si>
    <t>Eutrophication Saved (g PO4 eq)</t>
  </si>
  <si>
    <t>Acidification Saved (g SO2 eq)</t>
  </si>
  <si>
    <t>Biodiversity Saved
(proxy index)</t>
  </si>
  <si>
    <t xml:space="preserve">Animals Lives Saved </t>
  </si>
  <si>
    <t>Biodiversity "loss multiple" Vs Red Meat</t>
  </si>
  <si>
    <t>GHG (kg CO2e/kg)</t>
  </si>
  <si>
    <t>Water Use (kl/kg)</t>
  </si>
  <si>
    <t>Land Use (m2/kg)</t>
  </si>
  <si>
    <t>Eutrophication (g PO4 eq/kg)</t>
  </si>
  <si>
    <t>Acidification (g SO2 eq/kg)</t>
  </si>
  <si>
    <t>Default Consumption (kg/year)</t>
  </si>
  <si>
    <t>Animals Killed / Year</t>
  </si>
  <si>
    <t>Average Dressed Weight (kg)</t>
  </si>
  <si>
    <t>Compensation Factor</t>
  </si>
  <si>
    <t>Biodiversity loss at Baseline Diet</t>
  </si>
  <si>
    <t>Total Land Impact (m2) in a 0% plant based scenario</t>
  </si>
  <si>
    <t>Compensation Factor Explanation</t>
  </si>
  <si>
    <t>Reference</t>
  </si>
  <si>
    <t>Link</t>
  </si>
  <si>
    <t>Note: Compensation Factor models how consumption of each food group changes with % plant-based input (negative for foods that decrease like meat, positive for foods like legumes that increase to replace animal protein).</t>
  </si>
  <si>
    <t>Water Use (L/kg)</t>
  </si>
  <si>
    <t>Source / Study for Water Use</t>
  </si>
  <si>
    <t>Reference Link</t>
  </si>
  <si>
    <t>Water UseExplanation</t>
  </si>
  <si>
    <t>Red meat consumption drops to zero at 100% plant-based (no red meat in vegan diet).</t>
  </si>
  <si>
    <t>PMC8224516 (Plant-based dietary transitions)</t>
  </si>
  <si>
    <t>https://www.ncbi.nlm.nih.gov/pmc/articles/PMC8224516/</t>
  </si>
  <si>
    <t>Mekonnen &amp; Hoekstra (2012), Water Footprint Network</t>
  </si>
  <si>
    <t>Beef has one of the highest water footprints due to feed crop irrigation, drinking water, and processing.</t>
  </si>
  <si>
    <t>Pork consumption drops to zero at 100% plant-based (no pork in vegan diet).</t>
  </si>
  <si>
    <t>Pork has a moderate water footprint compared to beef, largely due to less feed conversion loss.</t>
  </si>
  <si>
    <t>Poultry consumption drops to zero at 100% plant-based (no poultry in vegan diet).</t>
  </si>
  <si>
    <t>Chicken has a lower water footprint per kg compared to beef and pork.</t>
  </si>
  <si>
    <t>Fish partially reduced even in pescatarian and plant-forward diets.</t>
  </si>
  <si>
    <t>Various studies (average estimate)</t>
  </si>
  <si>
    <t>Fish and seafood water use varies, but generally lower than terrestrial meat, reflecting differences in feed and environment.</t>
  </si>
  <si>
    <t>Dairy is fully replaced in vegan diet (plant-based milks etc.).</t>
  </si>
  <si>
    <t>Dairy water use includes water for feed crops for dairy cows, drinking water, and processing.</t>
  </si>
  <si>
    <t>Eggs fully replaced in vegan diet.</t>
  </si>
  <si>
    <t>Egg water use covers water for feed and drinking water for laying hens.</t>
  </si>
  <si>
    <t>Legumes &amp; Pulses consumption typically increases by about 50% as plant-based diets rely more on beans and lentils for protein.</t>
  </si>
  <si>
    <t>Poore &amp; Nemecek (2018) – Science</t>
  </si>
  <si>
    <t>Pulses require significant water, but much less than animal-based protein sources.</t>
  </si>
  <si>
    <t>Nuts &amp; Seeds consumption tends to rise modestly (~20%) as they provide healthy fats and plant-based protein sources.</t>
  </si>
  <si>
    <t>Poore &amp; Nemecek (2018) – Science; California data</t>
  </si>
  <si>
    <t>Nuts, especially almonds, have a high water footprint due to irrigation demands.</t>
  </si>
  <si>
    <t>Vegetable intake increases (~30%) as part of balanced plant-forward diets, reflecting higher fiber and nutrient needs.</t>
  </si>
  <si>
    <t>Vegetables have a very low water footprint compared to animal-based foods.</t>
  </si>
  <si>
    <t>Fruit consumption typically grows (~20%) to provide more dietary fiber, vitamins, and natural energy sources in plant-based transitions.</t>
  </si>
  <si>
    <t>Fruits have a moderate water footprint, depending on climate and irrigation practices.</t>
  </si>
  <si>
    <t>Grains &amp; Cereals see a slight increase (~10%) as they replace some of the calories lost from reducing animal-based foods.</t>
  </si>
  <si>
    <t>Grains require substantial water for irrigation, but still much lower than meat.</t>
  </si>
  <si>
    <t>U.S. Average Annual Animals Killed per Person (based on USDA/NASS data)</t>
  </si>
  <si>
    <t>Reference for the PDF Factor</t>
  </si>
  <si>
    <t>Species</t>
  </si>
  <si>
    <t>Animals killed/person/year</t>
  </si>
  <si>
    <t>Source</t>
  </si>
  <si>
    <t>Beef</t>
  </si>
  <si>
    <t>~0.07 cows</t>
  </si>
  <si>
    <t>USDA ERS, USDA NASS</t>
  </si>
  <si>
    <t>ReCiPe 2016 Biodiversity Indicators:</t>
  </si>
  <si>
    <t>Pork</t>
  </si>
  <si>
    <t>~0.23 pigs</t>
  </si>
  <si>
    <t>Chicken</t>
  </si>
  <si>
    <t>~18 chickens</t>
  </si>
  <si>
    <t>PDF.m².year: ~1.5e-7 PDF/m²/year</t>
  </si>
  <si>
    <t>🚀 Proposed “Full Lifecycle” Impact Numbers - suggested by CGPT after detailed promts (see separate notes for exact series of prompts used)</t>
  </si>
  <si>
    <t>Product</t>
  </si>
  <si>
    <t>Animals killed/year/person</t>
  </si>
  <si>
    <t>Notes</t>
  </si>
  <si>
    <t>Reference: ReCiPe2016 LCIA Methodology</t>
  </si>
  <si>
    <t>Direct beef consumption.</t>
  </si>
  <si>
    <t>Direct pork consumption.</t>
  </si>
  <si>
    <t>For more detailed biodiversity models, check out:</t>
  </si>
  <si>
    <t>Direct chicken consumption.</t>
  </si>
  <si>
    <t>~0.66 hens + 1 male chick</t>
  </si>
  <si>
    <t>Hens killed every ~1.5 years; male chicks culled at birth.</t>
  </si>
  <si>
    <t>~0.2 cows + 0.01 calves</t>
  </si>
  <si>
    <t>Dairy cows killed after ~5 years of milking; calves taken for veal or beef.</t>
  </si>
  <si>
    <t>GLOBIO3/4: GLOBIO website</t>
  </si>
  <si>
    <t>🌍 Global Average Annual Animals Killed per Person (FAO-based) - summary from CGPT shows lower global average Vs the US (which our calculator is based on)</t>
  </si>
  <si>
    <t>Chaudhary &amp; Kastner (2016) biodiversity footprint</t>
  </si>
  <si>
    <t>~0.04 cows</t>
  </si>
  <si>
    <t>FAOSTAT Food Balance Sheets</t>
  </si>
  <si>
    <t>~0.2 pigs</t>
  </si>
  <si>
    <t>FAOSTAT</t>
  </si>
  <si>
    <t>🟢 Revised Average Dressed Weights (by Food Group)</t>
  </si>
  <si>
    <t>~11-13 chickens</t>
  </si>
  <si>
    <t>Revised Average Dressed Weight (kg)</t>
  </si>
  <si>
    <t>Reference &amp; Link</t>
  </si>
  <si>
    <t>Explanation</t>
  </si>
  <si>
    <t>~384 kg</t>
  </si>
  <si>
    <t>USDA NASS, 2023 (beef cattle average dressed weight ~850 lbs = 385 kg)</t>
  </si>
  <si>
    <t>Average U.S. beef cow slaughter weight, typical dressed weight from USDA livestock reports.</t>
  </si>
  <si>
    <t>~98 kg</t>
  </si>
  <si>
    <t>USDA NASS, 2023 (pigs average ~215 lbs = 98 kg)</t>
  </si>
  <si>
    <t>Average slaughter weight of pigs in the U.S. for pork production.</t>
  </si>
  <si>
    <t>~2.5 kg</t>
  </si>
  <si>
    <t>USDA NASS, 2023 (broiler chickens average dressed weight ~5.5 lbs = 2.5 kg)</t>
  </si>
  <si>
    <t>Average dressed weight of U.S. broiler chickens (what’s actually consumed as meat).</t>
  </si>
  <si>
    <t>~1–3 kg (varies widely by species)</t>
  </si>
  <si>
    <t>FAO FishStat, typical for farmed fish like tilapia/salmon (~2-3 kg)</t>
  </si>
  <si>
    <t>Highly variable—averages usually 1–3 kg for major fish species farmed/caught for human consumption.</t>
  </si>
  <si>
    <t>N/A</t>
  </si>
  <si>
    <t>Not applicable to “dressed weight” as dairy cows are primarily milk producers, but typical cull cow ~385 kg.</t>
  </si>
  <si>
    <t>Dairy cows are included in red meat at slaughter—dairy impact is usually considered via milk, not dressed meat.</t>
  </si>
  <si>
    <t>Not applicable—egg-laying hens have average weight ~2 kg (hens), but eggs themselves are not measured in weight of animals.</t>
  </si>
  <si>
    <t>Egg-laying hens typically weigh ~2 kg, but “eggs” don’t have dressed weight because they’re not slaughter products.</t>
  </si>
  <si>
    <t>Additional Variable Inputs</t>
  </si>
  <si>
    <t>Good / Better / Best</t>
  </si>
  <si>
    <t>Region</t>
  </si>
  <si>
    <t>Intensive nature of Farming Practice</t>
  </si>
  <si>
    <t>Transportatation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</si>
</sst>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_(* #,##0.0000_);_(* \(#,##0.0000\);_(* &quot;-&quot;??_);_(@_)"/>
    <numFmt numFmtId="167" formatCode="_(* #,##0.00000000_);_(* \(#,##0.00000000\);_(* &quot;-&quot;????????_);_(@_)"/>
    <numFmt numFmtId="168" formatCode="#,##0.0000_);\(#,##0.0000\)"/>
  </numFmts>
  <fonts count="14" x14ac:knownFonts="1">
    <font>
      <sz val="11"/>
      <color theme="1"/>
      <name val="Calibri"/>
      <scheme val="minor"/>
    </font>
    <font>
      <b/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name val="Calibri"/>
    </font>
    <font>
      <b/>
      <sz val="14"/>
      <color theme="0"/>
      <name val="Calibri"/>
    </font>
    <font>
      <sz val="11"/>
      <color theme="0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u/>
      <sz val="11"/>
      <color theme="10"/>
      <name val="Calibri"/>
    </font>
    <font>
      <b/>
      <sz val="13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43" fontId="3" fillId="0" borderId="0" xfId="0" applyNumberFormat="1" applyFont="1"/>
    <xf numFmtId="0" fontId="2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5" borderId="9" xfId="0" applyFont="1" applyFill="1" applyBorder="1"/>
    <xf numFmtId="0" fontId="6" fillId="3" borderId="8" xfId="0" applyFont="1" applyFill="1" applyBorder="1"/>
    <xf numFmtId="0" fontId="3" fillId="0" borderId="10" xfId="0" applyFont="1" applyBorder="1"/>
    <xf numFmtId="164" fontId="3" fillId="0" borderId="11" xfId="0" applyNumberFormat="1" applyFont="1" applyBorder="1"/>
    <xf numFmtId="164" fontId="3" fillId="0" borderId="0" xfId="0" applyNumberFormat="1" applyFont="1"/>
    <xf numFmtId="165" fontId="3" fillId="0" borderId="0" xfId="0" applyNumberFormat="1" applyFont="1"/>
    <xf numFmtId="43" fontId="3" fillId="0" borderId="13" xfId="0" applyNumberFormat="1" applyFont="1" applyBorder="1"/>
    <xf numFmtId="0" fontId="3" fillId="0" borderId="12" xfId="0" applyFont="1" applyBorder="1"/>
    <xf numFmtId="0" fontId="3" fillId="0" borderId="14" xfId="0" applyFont="1" applyBorder="1"/>
    <xf numFmtId="164" fontId="3" fillId="0" borderId="15" xfId="0" applyNumberFormat="1" applyFont="1" applyBorder="1"/>
    <xf numFmtId="164" fontId="3" fillId="0" borderId="5" xfId="0" applyNumberFormat="1" applyFont="1" applyBorder="1"/>
    <xf numFmtId="165" fontId="3" fillId="0" borderId="5" xfId="0" applyNumberFormat="1" applyFont="1" applyBorder="1"/>
    <xf numFmtId="43" fontId="3" fillId="0" borderId="16" xfId="0" applyNumberFormat="1" applyFont="1" applyBorder="1"/>
    <xf numFmtId="0" fontId="3" fillId="0" borderId="17" xfId="0" applyFont="1" applyBorder="1"/>
    <xf numFmtId="0" fontId="3" fillId="0" borderId="11" xfId="0" applyFont="1" applyBorder="1"/>
    <xf numFmtId="0" fontId="5" fillId="6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3" fontId="5" fillId="6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166" fontId="3" fillId="0" borderId="0" xfId="0" applyNumberFormat="1" applyFont="1"/>
    <xf numFmtId="166" fontId="3" fillId="0" borderId="5" xfId="0" applyNumberFormat="1" applyFont="1" applyBorder="1"/>
    <xf numFmtId="2" fontId="3" fillId="0" borderId="0" xfId="0" applyNumberFormat="1" applyFont="1"/>
    <xf numFmtId="1" fontId="3" fillId="0" borderId="0" xfId="0" applyNumberFormat="1" applyFont="1"/>
    <xf numFmtId="1" fontId="3" fillId="0" borderId="5" xfId="0" applyNumberFormat="1" applyFont="1" applyBorder="1"/>
    <xf numFmtId="0" fontId="7" fillId="0" borderId="5" xfId="0" applyFont="1" applyBorder="1" applyAlignment="1">
      <alignment horizontal="center" vertical="top"/>
    </xf>
    <xf numFmtId="0" fontId="7" fillId="0" borderId="5" xfId="0" applyFont="1" applyBorder="1"/>
    <xf numFmtId="0" fontId="8" fillId="3" borderId="2" xfId="0" applyFont="1" applyFill="1" applyBorder="1" applyAlignment="1">
      <alignment horizontal="center" vertical="top"/>
    </xf>
    <xf numFmtId="0" fontId="6" fillId="3" borderId="4" xfId="0" applyFont="1" applyFill="1" applyBorder="1"/>
    <xf numFmtId="43" fontId="3" fillId="0" borderId="5" xfId="0" applyNumberFormat="1" applyFont="1" applyBorder="1" applyAlignment="1">
      <alignment wrapText="1"/>
    </xf>
    <xf numFmtId="0" fontId="9" fillId="0" borderId="0" xfId="0" applyFont="1"/>
    <xf numFmtId="167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vertical="center" wrapText="1"/>
    </xf>
    <xf numFmtId="168" fontId="3" fillId="0" borderId="0" xfId="0" applyNumberFormat="1" applyFont="1"/>
    <xf numFmtId="168" fontId="3" fillId="0" borderId="5" xfId="0" applyNumberFormat="1" applyFont="1" applyBorder="1"/>
    <xf numFmtId="165" fontId="0" fillId="0" borderId="0" xfId="0" applyNumberFormat="1"/>
    <xf numFmtId="165" fontId="5" fillId="4" borderId="8" xfId="0" applyNumberFormat="1" applyFont="1" applyFill="1" applyBorder="1" applyAlignment="1">
      <alignment horizontal="center" vertical="center"/>
    </xf>
    <xf numFmtId="165" fontId="3" fillId="0" borderId="12" xfId="0" applyNumberFormat="1" applyFont="1" applyBorder="1"/>
    <xf numFmtId="165" fontId="5" fillId="6" borderId="8" xfId="0" applyNumberFormat="1" applyFont="1" applyFill="1" applyBorder="1" applyAlignment="1">
      <alignment horizontal="center" vertical="center"/>
    </xf>
    <xf numFmtId="165" fontId="3" fillId="0" borderId="17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0" borderId="5" xfId="0" applyFont="1" applyBorder="1"/>
    <xf numFmtId="0" fontId="3" fillId="0" borderId="18" xfId="0" applyFont="1" applyBorder="1" applyAlignment="1">
      <alignment horizontal="center" vertical="center" wrapText="1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io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" zoomScale="75" zoomScaleNormal="75" workbookViewId="0">
      <pane xSplit="1" topLeftCell="D1" activePane="topRight" state="frozen"/>
      <selection activeCell="A4" sqref="A4"/>
      <selection pane="topRight" activeCell="H11" sqref="H11"/>
    </sheetView>
  </sheetViews>
  <sheetFormatPr defaultColWidth="14.41796875" defaultRowHeight="15" customHeight="1" x14ac:dyDescent="0.55000000000000004"/>
  <cols>
    <col min="1" max="1" width="19.68359375" customWidth="1"/>
    <col min="2" max="4" width="27.26171875" customWidth="1"/>
    <col min="5" max="6" width="27.26171875" hidden="1" customWidth="1"/>
    <col min="7" max="7" width="27.26171875" customWidth="1"/>
    <col min="8" max="8" width="27.26171875" style="54" customWidth="1"/>
    <col min="9" max="9" width="8" customWidth="1"/>
    <col min="10" max="10" width="37.68359375" customWidth="1"/>
    <col min="11" max="11" width="17" customWidth="1"/>
    <col min="12" max="12" width="18.68359375" customWidth="1"/>
    <col min="13" max="26" width="8.68359375" customWidth="1"/>
  </cols>
  <sheetData>
    <row r="1" spans="1:12" ht="30" customHeight="1" x14ac:dyDescent="0.55000000000000004">
      <c r="A1" s="59" t="s">
        <v>0</v>
      </c>
      <c r="B1" s="1" t="s">
        <v>1</v>
      </c>
      <c r="C1" s="2">
        <v>54</v>
      </c>
      <c r="D1" s="61" t="s">
        <v>2</v>
      </c>
      <c r="E1" s="62"/>
      <c r="F1" s="62"/>
      <c r="G1" s="62"/>
      <c r="H1" s="62"/>
      <c r="L1" s="3"/>
    </row>
    <row r="2" spans="1:12" ht="30" customHeight="1" x14ac:dyDescent="0.55000000000000004">
      <c r="A2" s="60"/>
      <c r="B2" s="4" t="s">
        <v>3</v>
      </c>
      <c r="C2" s="5">
        <v>6094</v>
      </c>
      <c r="D2" s="63"/>
      <c r="E2" s="63"/>
      <c r="F2" s="63"/>
      <c r="G2" s="63"/>
      <c r="H2" s="63"/>
      <c r="L2" s="3"/>
    </row>
    <row r="3" spans="1:12" ht="14.4" x14ac:dyDescent="0.55000000000000004">
      <c r="L3" s="3"/>
    </row>
    <row r="4" spans="1:12" ht="54.75" customHeight="1" x14ac:dyDescent="0.55000000000000004">
      <c r="A4" s="6" t="s">
        <v>4</v>
      </c>
      <c r="B4" s="7" t="s">
        <v>5</v>
      </c>
      <c r="C4" s="8" t="s">
        <v>6</v>
      </c>
      <c r="D4" s="8" t="s">
        <v>7</v>
      </c>
      <c r="E4" s="9" t="s">
        <v>8</v>
      </c>
      <c r="F4" s="9" t="s">
        <v>9</v>
      </c>
      <c r="G4" s="8" t="s">
        <v>10</v>
      </c>
      <c r="H4" s="55" t="s">
        <v>11</v>
      </c>
      <c r="J4" s="10" t="s">
        <v>12</v>
      </c>
      <c r="K4" s="11" t="s">
        <v>4</v>
      </c>
    </row>
    <row r="5" spans="1:12" ht="14.4" x14ac:dyDescent="0.55000000000000004">
      <c r="A5" s="12" t="s">
        <v>13</v>
      </c>
      <c r="B5" s="13">
        <f>J5*'Data Source'!$B2*$C$2</f>
        <v>4521065.4720000001</v>
      </c>
      <c r="C5" s="14">
        <f>J5*'Data Source'!$C2*$C$2</f>
        <v>1160406.8044800002</v>
      </c>
      <c r="D5" s="14">
        <f>J5*'Data Source'!$D2*$C$2</f>
        <v>24112349.184</v>
      </c>
      <c r="E5" s="14">
        <f>J5*'Data Source'!$E2*$C$2</f>
        <v>15070218.24</v>
      </c>
      <c r="F5" s="14">
        <f>J5*'Data Source'!$G2*$C$2</f>
        <v>2025437.3314560002</v>
      </c>
      <c r="G5" s="15">
        <f t="shared" ref="G5:G15" si="0">D5*0.00000015*100</f>
        <v>361.68523776000001</v>
      </c>
      <c r="H5" s="56">
        <f>(J5/'Data Source'!I2)</f>
        <v>3.2199999999999999E-2</v>
      </c>
      <c r="J5" s="16">
        <f>IF('Data Source'!$J2=0, 'Data Source'!$G2*(1-$C$1/100), 'Data Source'!$G2*(1+($C$1/100)*'Data Source'!$J2))</f>
        <v>12.364800000000001</v>
      </c>
      <c r="K5" s="17" t="s">
        <v>13</v>
      </c>
    </row>
    <row r="6" spans="1:12" ht="14.4" x14ac:dyDescent="0.55000000000000004">
      <c r="A6" s="12" t="s">
        <v>14</v>
      </c>
      <c r="B6" s="13">
        <f>J6*'Data Source'!$B3*$C$2</f>
        <v>379110.17760000005</v>
      </c>
      <c r="C6" s="14">
        <f>J6*'Data Source'!$C3*$C$2</f>
        <v>379110.17760000005</v>
      </c>
      <c r="D6" s="14">
        <f>J6*'Data Source'!$D3*$C$2</f>
        <v>2843326.3320000004</v>
      </c>
      <c r="E6" s="14">
        <f>J6*'Data Source'!$E3*$C$2</f>
        <v>3159251.4800000004</v>
      </c>
      <c r="F6" s="14">
        <f>J6*'Data Source'!$G3*$C$2</f>
        <v>1424190.5671840003</v>
      </c>
      <c r="G6" s="15">
        <f t="shared" si="0"/>
        <v>42.649894979999999</v>
      </c>
      <c r="H6" s="56">
        <f>(J6/'Data Source'!I3)</f>
        <v>0.10580000000000001</v>
      </c>
      <c r="J6" s="16">
        <f>IF('Data Source'!$J3=0, 'Data Source'!$G3*(1-$C$1/100), 'Data Source'!$G3*(1+($C$1/100)*'Data Source'!$J3))</f>
        <v>10.368400000000001</v>
      </c>
      <c r="K6" s="17" t="s">
        <v>14</v>
      </c>
    </row>
    <row r="7" spans="1:12" ht="14.4" x14ac:dyDescent="0.55000000000000004">
      <c r="A7" s="12" t="s">
        <v>15</v>
      </c>
      <c r="B7" s="13">
        <f>J7*'Data Source'!$B4*$C$2</f>
        <v>883020.6</v>
      </c>
      <c r="C7" s="14">
        <f>J7*'Data Source'!$C4*$C$2</f>
        <v>542426.93999999994</v>
      </c>
      <c r="D7" s="14">
        <f>J7*'Data Source'!$D4*$C$2</f>
        <v>6307290</v>
      </c>
      <c r="E7" s="14">
        <f>J7*'Data Source'!$E4*$C$2</f>
        <v>8830206</v>
      </c>
      <c r="F7" s="14">
        <f>J7*'Data Source'!$G4*$C$2</f>
        <v>5676561</v>
      </c>
      <c r="G7" s="15">
        <f t="shared" si="0"/>
        <v>94.609349999999992</v>
      </c>
      <c r="H7" s="56">
        <f>(J7/'Data Source'!I4)</f>
        <v>8.2799999999999994</v>
      </c>
      <c r="J7" s="16">
        <f>IF('Data Source'!$J4=0, 'Data Source'!$G4*(1-$C$1/100), 'Data Source'!$G4*(1+($C$1/100)*'Data Source'!$J4))</f>
        <v>20.7</v>
      </c>
      <c r="K7" s="17" t="s">
        <v>15</v>
      </c>
    </row>
    <row r="8" spans="1:12" ht="14.4" x14ac:dyDescent="0.55000000000000004">
      <c r="A8" s="18" t="s">
        <v>16</v>
      </c>
      <c r="B8" s="19">
        <f>J8*'Data Source'!$B5*$C$2</f>
        <v>56513.318399999989</v>
      </c>
      <c r="C8" s="20">
        <f>J8*'Data Source'!$C5*$C$2</f>
        <v>14128.329599999997</v>
      </c>
      <c r="D8" s="20">
        <f>J8*'Data Source'!$D5*$C$2</f>
        <v>282566.59199999995</v>
      </c>
      <c r="E8" s="20">
        <f>J8*'Data Source'!$E5*$C$2</f>
        <v>470944.31999999995</v>
      </c>
      <c r="F8" s="20">
        <f>J8*'Data Source'!$G5*$C$2</f>
        <v>31647.458303999996</v>
      </c>
      <c r="G8" s="21">
        <f t="shared" si="0"/>
        <v>4.238498879999999</v>
      </c>
      <c r="H8" s="56">
        <f>(J8/'Data Source'!I5)</f>
        <v>0.77279999999999993</v>
      </c>
      <c r="J8" s="16">
        <f>IF('Data Source'!$J5=0, 'Data Source'!$G5*(1-$C$1/100), 'Data Source'!$G5*(1+($C$1/100)*'Data Source'!$J5))</f>
        <v>1.5455999999999999</v>
      </c>
      <c r="K8" s="17" t="s">
        <v>16</v>
      </c>
    </row>
    <row r="9" spans="1:12" ht="14.4" x14ac:dyDescent="0.55000000000000004">
      <c r="A9" s="12" t="s">
        <v>17</v>
      </c>
      <c r="B9" s="13">
        <f>J9*'Data Source'!$B6*$C$2</f>
        <v>791186.45759999997</v>
      </c>
      <c r="C9" s="14">
        <f>J9*'Data Source'!$C6*$C$2</f>
        <v>226053.27360000001</v>
      </c>
      <c r="D9" s="14">
        <f>J9*'Data Source'!$D6*$C$2</f>
        <v>11302663.68</v>
      </c>
      <c r="E9" s="14">
        <f>J9*'Data Source'!$E6*$C$2</f>
        <v>9042130.9440000001</v>
      </c>
      <c r="F9" s="14">
        <f>J9*'Data Source'!$G6*$C$2</f>
        <v>18228935.983104002</v>
      </c>
      <c r="G9" s="15">
        <f>D9*0.00000015*100</f>
        <v>169.53995519999998</v>
      </c>
      <c r="H9" s="56">
        <f>(J9/'Data Source'!I6)</f>
        <v>9.6600000000000005E-2</v>
      </c>
      <c r="J9" s="16">
        <f>IF('Data Source'!$J6=0, 'Data Source'!$G6*(1-$C$1/100), 'Data Source'!$G6*(1+($C$1/100)*'Data Source'!$J6))</f>
        <v>37.0944</v>
      </c>
      <c r="K9" s="17" t="s">
        <v>17</v>
      </c>
    </row>
    <row r="10" spans="1:12" ht="14.4" x14ac:dyDescent="0.55000000000000004">
      <c r="A10" s="18" t="s">
        <v>18</v>
      </c>
      <c r="B10" s="19">
        <f>J10*'Data Source'!$B7*$C$2</f>
        <v>163989.53999999998</v>
      </c>
      <c r="C10" s="20">
        <f>J10*'Data Source'!$C7*$C$2</f>
        <v>120258.99599999998</v>
      </c>
      <c r="D10" s="20">
        <f>J10*'Data Source'!$D7*$C$2</f>
        <v>1457684.8</v>
      </c>
      <c r="E10" s="20">
        <f>J10*'Data Source'!$E7*$C$2</f>
        <v>1822106</v>
      </c>
      <c r="F10" s="20">
        <f>J10*'Data Source'!$G7*$C$2</f>
        <v>473747.56</v>
      </c>
      <c r="G10" s="21">
        <f t="shared" si="0"/>
        <v>21.865272000000001</v>
      </c>
      <c r="H10" s="56">
        <f>(J10/'Data Source'!I7)</f>
        <v>2.3919999999999999</v>
      </c>
      <c r="J10" s="16">
        <f>IF('Data Source'!$J7=0, 'Data Source'!$G7*(1-$C$1/100), 'Data Source'!$G7*(1+($C$1/100)*'Data Source'!$J7))</f>
        <v>5.9799999999999995</v>
      </c>
      <c r="K10" s="17" t="s">
        <v>18</v>
      </c>
    </row>
    <row r="11" spans="1:12" ht="14.4" x14ac:dyDescent="0.55000000000000004">
      <c r="A11" s="12" t="s">
        <v>19</v>
      </c>
      <c r="B11" s="13">
        <f>J11*'Data Source'!$B8*$C$2</f>
        <v>92872.56</v>
      </c>
      <c r="C11" s="14">
        <f>J11*'Data Source'!$C8*$C$2</f>
        <v>247660.16</v>
      </c>
      <c r="D11" s="14">
        <f>J11*'Data Source'!$D8*$C$2</f>
        <v>185745.12</v>
      </c>
      <c r="E11" s="14">
        <f>J11*'Data Source'!$E8*$C$2</f>
        <v>1238300.8</v>
      </c>
      <c r="F11" s="14">
        <f>J11*'Data Source'!$G8*$C$2</f>
        <v>495320.32000000001</v>
      </c>
      <c r="G11" s="15">
        <f t="shared" si="0"/>
        <v>2.7861767999999998</v>
      </c>
      <c r="H11" s="56">
        <f>'Data Source'!$H8*$C$2</f>
        <v>0</v>
      </c>
      <c r="J11" s="16">
        <f>IF('Data Source'!$J8=0, 'Data Source'!$G8*(1-$C$1/100), 'Data Source'!$G8*(1+($C$1/100)*'Data Source'!$J8))</f>
        <v>10.16</v>
      </c>
      <c r="K11" s="17" t="s">
        <v>19</v>
      </c>
    </row>
    <row r="12" spans="1:12" ht="14.4" x14ac:dyDescent="0.55000000000000004">
      <c r="A12" s="12" t="s">
        <v>20</v>
      </c>
      <c r="B12" s="13">
        <f>J12*'Data Source'!$B9*$C$2</f>
        <v>62119.7984</v>
      </c>
      <c r="C12" s="14">
        <f>J12*'Data Source'!$C9*$C$2</f>
        <v>243077.47200000004</v>
      </c>
      <c r="D12" s="14">
        <f>J12*'Data Source'!$D9*$C$2</f>
        <v>189060.25599999999</v>
      </c>
      <c r="E12" s="14">
        <f>J12*'Data Source'!$E9*$C$2</f>
        <v>810258.24</v>
      </c>
      <c r="F12" s="14">
        <f>J12*'Data Source'!$G9*$C$2</f>
        <v>108034.43200000002</v>
      </c>
      <c r="G12" s="15">
        <f t="shared" si="0"/>
        <v>2.8359038399999998</v>
      </c>
      <c r="H12" s="56">
        <f>'Data Source'!$H9*$C$2</f>
        <v>0</v>
      </c>
      <c r="J12" s="16">
        <f>IF('Data Source'!$J9=0, 'Data Source'!$G9*(1-$C$1/100), 'Data Source'!$G9*(1+($C$1/100)*'Data Source'!$J9))</f>
        <v>4.4320000000000004</v>
      </c>
      <c r="K12" s="17" t="s">
        <v>20</v>
      </c>
    </row>
    <row r="13" spans="1:12" ht="14.4" x14ac:dyDescent="0.55000000000000004">
      <c r="A13" s="12" t="s">
        <v>21</v>
      </c>
      <c r="B13" s="13">
        <f>J13*'Data Source'!B10*$C$2</f>
        <v>623148.06400000001</v>
      </c>
      <c r="C13" s="14">
        <f>J13*'Data Source'!$C10*$C$2</f>
        <v>233680.52399999998</v>
      </c>
      <c r="D13" s="14">
        <f>J13*'Data Source'!D10*$C$2</f>
        <v>1557870.16</v>
      </c>
      <c r="E13" s="14">
        <f>J13*'Data Source'!E10*$C$2</f>
        <v>7789350.7999999989</v>
      </c>
      <c r="F13" s="14">
        <f>J13*'Data Source'!F10*$C$2</f>
        <v>7789350.7999999989</v>
      </c>
      <c r="G13" s="15">
        <f t="shared" si="0"/>
        <v>23.368052399999996</v>
      </c>
      <c r="H13" s="56">
        <f>'Data Source'!$H10*$C$2</f>
        <v>0</v>
      </c>
      <c r="J13" s="16">
        <f>IF('Data Source'!$J10=0, 'Data Source'!$G10*(1-$C$1/100), 'Data Source'!$G10*(1+($C$1/100)*'Data Source'!$J10))</f>
        <v>127.82</v>
      </c>
      <c r="K13" s="17" t="s">
        <v>21</v>
      </c>
    </row>
    <row r="14" spans="1:12" ht="14.4" x14ac:dyDescent="0.55000000000000004">
      <c r="A14" s="12" t="s">
        <v>22</v>
      </c>
      <c r="B14" s="13">
        <f>J14*'Data Source'!B11*$C$2</f>
        <v>594189.37600000016</v>
      </c>
      <c r="C14" s="14">
        <f>J14*'Data Source'!$C11*$C$2</f>
        <v>540172.16</v>
      </c>
      <c r="D14" s="14">
        <f>J14*'Data Source'!D11*$C$2</f>
        <v>1080344.32</v>
      </c>
      <c r="E14" s="14">
        <f>J14*'Data Source'!E11*$C$2</f>
        <v>5401721.6000000006</v>
      </c>
      <c r="F14" s="14">
        <f>J14*'Data Source'!F11*$C$2</f>
        <v>5401721.6000000006</v>
      </c>
      <c r="G14" s="15">
        <f t="shared" si="0"/>
        <v>16.205164799999999</v>
      </c>
      <c r="H14" s="56">
        <f>'Data Source'!$H11*$C$2</f>
        <v>0</v>
      </c>
      <c r="J14" s="16">
        <f>IF('Data Source'!$J11=0, 'Data Source'!$G11*(1-$C$1/100), 'Data Source'!$G11*(1+($C$1/100)*'Data Source'!$J11))</f>
        <v>88.640000000000015</v>
      </c>
      <c r="K14" s="17" t="s">
        <v>22</v>
      </c>
    </row>
    <row r="15" spans="1:12" ht="14.4" x14ac:dyDescent="0.55000000000000004">
      <c r="A15" s="12" t="s">
        <v>23</v>
      </c>
      <c r="B15" s="13">
        <f>J15*'Data Source'!B12*$C$2</f>
        <v>706538.3600000001</v>
      </c>
      <c r="C15" s="14">
        <f>J15*'Data Source'!$C12*$C$2</f>
        <v>1059807.54</v>
      </c>
      <c r="D15" s="14">
        <f>J15*'Data Source'!D12*$C$2</f>
        <v>3532691.8000000003</v>
      </c>
      <c r="E15" s="14">
        <f>J15*'Data Source'!E12*$C$2</f>
        <v>14130767.200000001</v>
      </c>
      <c r="F15" s="14">
        <f>J15*'Data Source'!F12*$C$2</f>
        <v>14130767.200000001</v>
      </c>
      <c r="G15" s="15">
        <f t="shared" si="0"/>
        <v>52.990377000000002</v>
      </c>
      <c r="H15" s="56">
        <f>'Data Source'!$H12*$C$2</f>
        <v>0</v>
      </c>
      <c r="J15" s="22">
        <f>IF('Data Source'!$J12=0, 'Data Source'!$G12*(1-$C$1/100), 'Data Source'!$G12*(1+($C$1/100)*'Data Source'!$J12))</f>
        <v>115.94000000000001</v>
      </c>
      <c r="K15" s="23" t="s">
        <v>23</v>
      </c>
    </row>
    <row r="16" spans="1:12" ht="15" customHeight="1" x14ac:dyDescent="0.55000000000000004">
      <c r="A16" s="12"/>
      <c r="B16" s="24"/>
      <c r="H16" s="56"/>
      <c r="J16" s="64" t="s">
        <v>24</v>
      </c>
      <c r="K16" s="65"/>
      <c r="L16" s="3"/>
    </row>
    <row r="17" spans="1:12" ht="54.75" customHeight="1" x14ac:dyDescent="0.55000000000000004">
      <c r="A17" s="6" t="s">
        <v>4</v>
      </c>
      <c r="B17" s="25" t="s">
        <v>25</v>
      </c>
      <c r="C17" s="26" t="s">
        <v>26</v>
      </c>
      <c r="D17" s="27" t="s">
        <v>27</v>
      </c>
      <c r="E17" s="28" t="s">
        <v>28</v>
      </c>
      <c r="F17" s="28" t="s">
        <v>29</v>
      </c>
      <c r="G17" s="26" t="s">
        <v>30</v>
      </c>
      <c r="H17" s="57" t="s">
        <v>31</v>
      </c>
      <c r="J17" s="62"/>
      <c r="K17" s="62"/>
      <c r="L17" s="3"/>
    </row>
    <row r="18" spans="1:12" ht="14.4" x14ac:dyDescent="0.55000000000000004">
      <c r="A18" s="12" t="s">
        <v>13</v>
      </c>
      <c r="B18" s="13">
        <f>'Data Source'!$G2*'Data Source'!$B2*($C$1/100)</f>
        <v>870.91200000000015</v>
      </c>
      <c r="C18" s="52">
        <f>'Data Source'!G2*'Data Source'!C2*($C$1/100)</f>
        <v>223.53408000000005</v>
      </c>
      <c r="D18" s="14">
        <f>'Data Source'!G2*'Data Source'!D2*($C$1/100)</f>
        <v>4644.8640000000005</v>
      </c>
      <c r="E18" s="14">
        <f>'Data Source'!$G2*'Data Source'!$E2*($C$1/100)</f>
        <v>2903.0400000000009</v>
      </c>
      <c r="F18" s="14">
        <f>'Data Source'!$I2*'Data Source'!$F2*($C$1/100)</f>
        <v>62208.000000000007</v>
      </c>
      <c r="G18" s="29">
        <f>'Data Source'!K2-Calculator!G5</f>
        <v>-361.55621375999999</v>
      </c>
      <c r="H18" s="56">
        <f>(('Data Source'!$G2-$J5)/'Data Source'!$I2)</f>
        <v>3.7800000000000007E-2</v>
      </c>
      <c r="J18" s="62"/>
      <c r="K18" s="62"/>
      <c r="L18" s="3"/>
    </row>
    <row r="19" spans="1:12" ht="14.4" x14ac:dyDescent="0.55000000000000004">
      <c r="A19" s="12" t="s">
        <v>14</v>
      </c>
      <c r="B19" s="13">
        <f>'Data Source'!$G3*'Data Source'!$B3*($C$1/100)</f>
        <v>73.029600000000016</v>
      </c>
      <c r="C19" s="52">
        <f>'Data Source'!G3*'Data Source'!C3*($C$1/100)</f>
        <v>73.029600000000016</v>
      </c>
      <c r="D19" s="14">
        <f>'Data Source'!G3*'Data Source'!D3*($C$1/100)</f>
        <v>547.72200000000009</v>
      </c>
      <c r="E19" s="14">
        <f>'Data Source'!H3*'Data Source'!E3*($C$1/100)</f>
        <v>6.2100000000000009</v>
      </c>
      <c r="F19" s="14">
        <f>'Data Source'!I3*'Data Source'!F3*($C$1/100)</f>
        <v>3704.4</v>
      </c>
      <c r="G19" s="29">
        <f>'Data Source'!K3-Calculator!G6</f>
        <v>-42.63468048</v>
      </c>
      <c r="H19" s="56">
        <f>(('Data Source'!$G3-$J6)/'Data Source'!$I3)</f>
        <v>0.12420000000000002</v>
      </c>
      <c r="J19" s="62"/>
      <c r="K19" s="62"/>
      <c r="L19" s="3"/>
    </row>
    <row r="20" spans="1:12" ht="14.4" x14ac:dyDescent="0.55000000000000004">
      <c r="A20" s="12" t="s">
        <v>15</v>
      </c>
      <c r="B20" s="13">
        <f>'Data Source'!$G4*'Data Source'!$B4*($C$1/100)</f>
        <v>170.10000000000002</v>
      </c>
      <c r="C20" s="52">
        <f>'Data Source'!G4*'Data Source'!C4*($C$1/100)</f>
        <v>104.49000000000001</v>
      </c>
      <c r="D20" s="14">
        <f>'Data Source'!G4*'Data Source'!D4*($C$1/100)</f>
        <v>1215</v>
      </c>
      <c r="E20" s="14">
        <f>'Data Source'!H4*'Data Source'!E4*($C$1/100)</f>
        <v>680.40000000000009</v>
      </c>
      <c r="F20" s="14">
        <f>'Data Source'!I4*'Data Source'!F4*($C$1/100)</f>
        <v>108</v>
      </c>
      <c r="G20" s="29">
        <f>'Data Source'!K4-Calculator!G7</f>
        <v>-94.575599999999994</v>
      </c>
      <c r="H20" s="56">
        <f>(('Data Source'!$G4-$J7)/'Data Source'!$I4)</f>
        <v>9.7200000000000006</v>
      </c>
      <c r="J20" s="62"/>
      <c r="K20" s="62"/>
      <c r="L20" s="3"/>
    </row>
    <row r="21" spans="1:12" ht="15.75" customHeight="1" x14ac:dyDescent="0.55000000000000004">
      <c r="A21" s="12" t="s">
        <v>16</v>
      </c>
      <c r="B21" s="13">
        <f>'Data Source'!$G5*'Data Source'!$B5*($C$1/100)</f>
        <v>10.8864</v>
      </c>
      <c r="C21" s="52">
        <f>'Data Source'!G5*'Data Source'!C5*($C$1/100)</f>
        <v>2.7216</v>
      </c>
      <c r="D21" s="14">
        <f>'Data Source'!G5*'Data Source'!D5*($C$1/100)</f>
        <v>54.432000000000002</v>
      </c>
      <c r="E21" s="14">
        <f>'Data Source'!H5*'Data Source'!E5*($C$1/100)</f>
        <v>0</v>
      </c>
      <c r="F21" s="14">
        <f>'Data Source'!I5*'Data Source'!F5*($C$1/100)</f>
        <v>64.800000000000011</v>
      </c>
      <c r="G21" s="29">
        <f>'Data Source'!K5-Calculator!G8</f>
        <v>-4.236986879999999</v>
      </c>
      <c r="H21" s="56">
        <f>(('Data Source'!$G5-$J8)/'Data Source'!$I5)</f>
        <v>0.90720000000000001</v>
      </c>
      <c r="J21" s="62"/>
      <c r="K21" s="62"/>
      <c r="L21" s="3"/>
    </row>
    <row r="22" spans="1:12" ht="15.75" customHeight="1" x14ac:dyDescent="0.55000000000000004">
      <c r="A22" s="12" t="s">
        <v>17</v>
      </c>
      <c r="B22" s="13">
        <f>'Data Source'!$G6*'Data Source'!$B6*($C$1/100)</f>
        <v>152.40960000000001</v>
      </c>
      <c r="C22" s="52">
        <f>'Data Source'!G6*'Data Source'!C6*($C$1/100)</f>
        <v>43.5456</v>
      </c>
      <c r="D22" s="14">
        <f>'Data Source'!G6*'Data Source'!D6*($C$1/100)</f>
        <v>2177.2800000000002</v>
      </c>
      <c r="E22" s="14">
        <f>'Data Source'!H6*'Data Source'!E6*($C$1/100)</f>
        <v>36.288000000000004</v>
      </c>
      <c r="F22" s="14">
        <f>'Data Source'!I6*'Data Source'!F6*($C$1/100)</f>
        <v>10368</v>
      </c>
      <c r="G22" s="29">
        <f>'Data Source'!K6-Calculator!G9</f>
        <v>-169.47947519999997</v>
      </c>
      <c r="H22" s="56">
        <f>(('Data Source'!$G6-$J9)/'Data Source'!$I6)</f>
        <v>0.1134</v>
      </c>
      <c r="J22" s="62"/>
      <c r="K22" s="62"/>
      <c r="L22" s="3"/>
    </row>
    <row r="23" spans="1:12" ht="15.75" customHeight="1" x14ac:dyDescent="0.55000000000000004">
      <c r="A23" s="12" t="s">
        <v>18</v>
      </c>
      <c r="B23" s="13">
        <f>'Data Source'!$G7*'Data Source'!$B7*($C$1/100)</f>
        <v>31.590000000000003</v>
      </c>
      <c r="C23" s="52">
        <f>'Data Source'!G7*'Data Source'!C7*($C$1/100)</f>
        <v>23.166</v>
      </c>
      <c r="D23" s="14">
        <f>'Data Source'!G7*'Data Source'!D7*($C$1/100)</f>
        <v>280.8</v>
      </c>
      <c r="E23" s="14">
        <f>'Data Source'!H7*'Data Source'!E7*($C$1/100)</f>
        <v>5.67</v>
      </c>
      <c r="F23" s="14">
        <f>'Data Source'!I7*'Data Source'!F7*($C$1/100)</f>
        <v>81</v>
      </c>
      <c r="G23" s="29">
        <f>'Data Source'!K7-Calculator!G10</f>
        <v>-21.857472000000001</v>
      </c>
      <c r="H23" s="56">
        <f>(('Data Source'!$G7-$J10)/'Data Source'!$I7)</f>
        <v>2.8080000000000003</v>
      </c>
      <c r="J23" s="62"/>
      <c r="K23" s="62"/>
      <c r="L23" s="3"/>
    </row>
    <row r="24" spans="1:12" ht="15.75" customHeight="1" x14ac:dyDescent="0.55000000000000004">
      <c r="A24" s="12" t="s">
        <v>19</v>
      </c>
      <c r="B24" s="13">
        <f>'Data Source'!$G8*'Data Source'!$B8*($C$1/100)</f>
        <v>6.48</v>
      </c>
      <c r="C24" s="52">
        <f>'Data Source'!G8*'Data Source'!C8*($C$1/100)</f>
        <v>17.28</v>
      </c>
      <c r="D24" s="14">
        <f>'Data Source'!G8*'Data Source'!D8*($C$1/100)</f>
        <v>12.96</v>
      </c>
      <c r="E24" s="14">
        <f>'Data Source'!H8*'Data Source'!E8*($C$1/100)</f>
        <v>0</v>
      </c>
      <c r="F24" s="14">
        <f>'Data Source'!I8*'Data Source'!F8*($C$1/100)</f>
        <v>0</v>
      </c>
      <c r="G24" s="29">
        <f>'Data Source'!K8-Calculator!G11</f>
        <v>-2.7858167999999996</v>
      </c>
      <c r="H24" s="56">
        <f>'Data Source'!$H8*$C$2</f>
        <v>0</v>
      </c>
      <c r="J24" s="62"/>
      <c r="K24" s="62"/>
      <c r="L24" s="3"/>
    </row>
    <row r="25" spans="1:12" ht="15.75" customHeight="1" x14ac:dyDescent="0.55000000000000004">
      <c r="A25" s="12" t="s">
        <v>20</v>
      </c>
      <c r="B25" s="13">
        <f>'Data Source'!$G9*'Data Source'!$B9*($C$1/100)</f>
        <v>4.968</v>
      </c>
      <c r="C25" s="52">
        <f>'Data Source'!G9*'Data Source'!C9*($C$1/100)</f>
        <v>19.440000000000001</v>
      </c>
      <c r="D25" s="14">
        <f>'Data Source'!G9*'Data Source'!D9*($C$1/100)</f>
        <v>15.120000000000001</v>
      </c>
      <c r="E25" s="14">
        <f>'Data Source'!H9*'Data Source'!E9*($C$1/100)</f>
        <v>0</v>
      </c>
      <c r="F25" s="14">
        <f>'Data Source'!I9*'Data Source'!F9*($C$1/100)</f>
        <v>0</v>
      </c>
      <c r="G25" s="29">
        <f>'Data Source'!K9-Calculator!G12</f>
        <v>-2.8354838399999998</v>
      </c>
      <c r="H25" s="56">
        <f>'Data Source'!$H9*$C$2</f>
        <v>0</v>
      </c>
      <c r="J25" s="62"/>
      <c r="K25" s="62"/>
      <c r="L25" s="3"/>
    </row>
    <row r="26" spans="1:12" ht="15.75" customHeight="1" x14ac:dyDescent="0.55000000000000004">
      <c r="A26" s="12" t="s">
        <v>21</v>
      </c>
      <c r="B26" s="13">
        <f>'Data Source'!$G10*'Data Source'!$B10*($C$1/100)</f>
        <v>47.52</v>
      </c>
      <c r="C26" s="52">
        <f>'Data Source'!G10*'Data Source'!C10*($C$1/100)</f>
        <v>17.82</v>
      </c>
      <c r="D26" s="14">
        <f>'Data Source'!G10*'Data Source'!D10*($C$1/100)</f>
        <v>118.80000000000001</v>
      </c>
      <c r="E26" s="14">
        <f>'Data Source'!H10*'Data Source'!E10*($C$1/100)</f>
        <v>0</v>
      </c>
      <c r="F26" s="14">
        <f>'Data Source'!I10*'Data Source'!F10*($C$1/100)</f>
        <v>0</v>
      </c>
      <c r="G26" s="29">
        <f>'Data Source'!K10-Calculator!G13</f>
        <v>-23.364752399999997</v>
      </c>
      <c r="H26" s="56">
        <f>'Data Source'!$H10*$C$2</f>
        <v>0</v>
      </c>
      <c r="J26" s="62"/>
      <c r="K26" s="62"/>
      <c r="L26" s="3"/>
    </row>
    <row r="27" spans="1:12" ht="15.75" customHeight="1" x14ac:dyDescent="0.55000000000000004">
      <c r="A27" s="12" t="s">
        <v>22</v>
      </c>
      <c r="B27" s="13">
        <f>'Data Source'!$G11*'Data Source'!$B11*($C$1/100)</f>
        <v>47.52</v>
      </c>
      <c r="C27" s="52">
        <f>'Data Source'!G11*'Data Source'!C11*($C$1/100)</f>
        <v>43.2</v>
      </c>
      <c r="D27" s="14">
        <f>'Data Source'!G11*'Data Source'!D11*($C$1/100)</f>
        <v>86.4</v>
      </c>
      <c r="E27" s="14">
        <f>'Data Source'!H11*'Data Source'!E11*($C$1/100)</f>
        <v>0</v>
      </c>
      <c r="F27" s="14">
        <f>'Data Source'!I11*'Data Source'!F11*($C$1/100)</f>
        <v>0</v>
      </c>
      <c r="G27" s="29">
        <f>'Data Source'!K11-Calculator!G14</f>
        <v>-16.202764799999997</v>
      </c>
      <c r="H27" s="56">
        <f>'Data Source'!$H11*$C$2</f>
        <v>0</v>
      </c>
      <c r="J27" s="62"/>
      <c r="K27" s="62"/>
      <c r="L27" s="3"/>
    </row>
    <row r="28" spans="1:12" ht="15.75" customHeight="1" x14ac:dyDescent="0.55000000000000004">
      <c r="A28" s="18" t="s">
        <v>23</v>
      </c>
      <c r="B28" s="19">
        <f>'Data Source'!$G12*'Data Source'!$B12*($C$1/100)</f>
        <v>59.400000000000006</v>
      </c>
      <c r="C28" s="53">
        <f>'Data Source'!G12*'Data Source'!C12*($C$1/100)</f>
        <v>89.100000000000009</v>
      </c>
      <c r="D28" s="20">
        <f>'Data Source'!G12*'Data Source'!D12*($C$1/100)</f>
        <v>297</v>
      </c>
      <c r="E28" s="20">
        <f>'Data Source'!H12*'Data Source'!E12*($C$1/100)</f>
        <v>0</v>
      </c>
      <c r="F28" s="20">
        <f>'Data Source'!I12*'Data Source'!F12*($C$1/100)</f>
        <v>0</v>
      </c>
      <c r="G28" s="30">
        <f>'Data Source'!K12-Calculator!G15</f>
        <v>-52.982127000000006</v>
      </c>
      <c r="H28" s="58">
        <f>'Data Source'!$H12*$C$2</f>
        <v>0</v>
      </c>
      <c r="J28" s="62"/>
      <c r="K28" s="62"/>
      <c r="L28" s="3"/>
    </row>
    <row r="29" spans="1:12" ht="15.75" customHeight="1" x14ac:dyDescent="0.55000000000000004">
      <c r="D29" s="31"/>
      <c r="L29" s="3"/>
    </row>
    <row r="30" spans="1:12" ht="15.75" customHeight="1" x14ac:dyDescent="0.55000000000000004">
      <c r="G30" s="26" t="s">
        <v>32</v>
      </c>
      <c r="L30" s="3"/>
    </row>
    <row r="31" spans="1:12" ht="15.75" customHeight="1" x14ac:dyDescent="0.55000000000000004">
      <c r="G31" s="32">
        <f t="shared" ref="G31:G40" si="1">IF($G$5=0,0,$G$5/G5)</f>
        <v>1</v>
      </c>
      <c r="L31" s="3"/>
    </row>
    <row r="32" spans="1:12" ht="15.75" customHeight="1" x14ac:dyDescent="0.55000000000000004">
      <c r="G32" s="32">
        <f t="shared" si="1"/>
        <v>8.4803312629399592</v>
      </c>
      <c r="L32" s="3"/>
    </row>
    <row r="33" spans="7:12" ht="15.75" customHeight="1" x14ac:dyDescent="0.55000000000000004">
      <c r="G33" s="32">
        <f t="shared" si="1"/>
        <v>3.8229333333333337</v>
      </c>
      <c r="L33" s="3"/>
    </row>
    <row r="34" spans="7:12" ht="15.75" customHeight="1" x14ac:dyDescent="0.55000000000000004">
      <c r="G34" s="33">
        <f t="shared" si="1"/>
        <v>85.333333333333357</v>
      </c>
      <c r="L34" s="3"/>
    </row>
    <row r="35" spans="7:12" ht="15.75" customHeight="1" x14ac:dyDescent="0.55000000000000004">
      <c r="G35" s="32">
        <f t="shared" si="1"/>
        <v>2.1333333333333337</v>
      </c>
      <c r="L35" s="3"/>
    </row>
    <row r="36" spans="7:12" ht="15.75" customHeight="1" x14ac:dyDescent="0.55000000000000004">
      <c r="G36" s="33">
        <f t="shared" si="1"/>
        <v>16.541538461538462</v>
      </c>
      <c r="L36" s="3"/>
    </row>
    <row r="37" spans="7:12" ht="15.75" customHeight="1" x14ac:dyDescent="0.55000000000000004">
      <c r="G37" s="32">
        <f t="shared" si="1"/>
        <v>129.81417322834648</v>
      </c>
      <c r="L37" s="3"/>
    </row>
    <row r="38" spans="7:12" ht="15.75" customHeight="1" x14ac:dyDescent="0.55000000000000004">
      <c r="G38" s="32">
        <f t="shared" si="1"/>
        <v>127.53790613718412</v>
      </c>
      <c r="L38" s="3"/>
    </row>
    <row r="39" spans="7:12" ht="15.75" customHeight="1" x14ac:dyDescent="0.55000000000000004">
      <c r="G39" s="32">
        <f t="shared" si="1"/>
        <v>15.477765607886093</v>
      </c>
      <c r="L39" s="3"/>
    </row>
    <row r="40" spans="7:12" ht="15.75" customHeight="1" x14ac:dyDescent="0.55000000000000004">
      <c r="G40" s="32">
        <f t="shared" si="1"/>
        <v>22.319133574007221</v>
      </c>
      <c r="L40" s="3"/>
    </row>
    <row r="41" spans="7:12" ht="15.75" customHeight="1" x14ac:dyDescent="0.55000000000000004">
      <c r="L41" s="3"/>
    </row>
    <row r="42" spans="7:12" ht="15.75" customHeight="1" x14ac:dyDescent="0.55000000000000004">
      <c r="L42" s="3"/>
    </row>
    <row r="43" spans="7:12" ht="15.75" customHeight="1" x14ac:dyDescent="0.55000000000000004">
      <c r="L43" s="3"/>
    </row>
    <row r="44" spans="7:12" ht="15.75" customHeight="1" x14ac:dyDescent="0.55000000000000004">
      <c r="L44" s="3"/>
    </row>
    <row r="45" spans="7:12" ht="15.75" customHeight="1" x14ac:dyDescent="0.55000000000000004">
      <c r="L45" s="3"/>
    </row>
    <row r="46" spans="7:12" ht="15.75" customHeight="1" x14ac:dyDescent="0.55000000000000004">
      <c r="L46" s="3"/>
    </row>
    <row r="47" spans="7:12" ht="15.75" customHeight="1" x14ac:dyDescent="0.55000000000000004">
      <c r="L47" s="3"/>
    </row>
    <row r="48" spans="7:12" ht="15.75" customHeight="1" x14ac:dyDescent="0.55000000000000004">
      <c r="L48" s="3"/>
    </row>
    <row r="49" spans="12:12" ht="15.75" customHeight="1" x14ac:dyDescent="0.55000000000000004">
      <c r="L49" s="3"/>
    </row>
    <row r="50" spans="12:12" ht="15.75" customHeight="1" x14ac:dyDescent="0.55000000000000004">
      <c r="L50" s="3"/>
    </row>
    <row r="51" spans="12:12" ht="15.75" customHeight="1" x14ac:dyDescent="0.55000000000000004">
      <c r="L51" s="3"/>
    </row>
    <row r="52" spans="12:12" ht="15.75" customHeight="1" x14ac:dyDescent="0.55000000000000004">
      <c r="L52" s="3"/>
    </row>
    <row r="53" spans="12:12" ht="15.75" customHeight="1" x14ac:dyDescent="0.55000000000000004">
      <c r="L53" s="3"/>
    </row>
    <row r="54" spans="12:12" ht="15.75" customHeight="1" x14ac:dyDescent="0.55000000000000004">
      <c r="L54" s="3"/>
    </row>
    <row r="55" spans="12:12" ht="15.75" customHeight="1" x14ac:dyDescent="0.55000000000000004">
      <c r="L55" s="3"/>
    </row>
    <row r="56" spans="12:12" ht="15.75" customHeight="1" x14ac:dyDescent="0.55000000000000004">
      <c r="L56" s="3"/>
    </row>
    <row r="57" spans="12:12" ht="15.75" customHeight="1" x14ac:dyDescent="0.55000000000000004">
      <c r="L57" s="3"/>
    </row>
    <row r="58" spans="12:12" ht="15.75" customHeight="1" x14ac:dyDescent="0.55000000000000004">
      <c r="L58" s="3"/>
    </row>
    <row r="59" spans="12:12" ht="15.75" customHeight="1" x14ac:dyDescent="0.55000000000000004">
      <c r="L59" s="3"/>
    </row>
    <row r="60" spans="12:12" ht="15.75" customHeight="1" x14ac:dyDescent="0.55000000000000004">
      <c r="L60" s="3"/>
    </row>
    <row r="61" spans="12:12" ht="15.75" customHeight="1" x14ac:dyDescent="0.55000000000000004">
      <c r="L61" s="3"/>
    </row>
    <row r="62" spans="12:12" ht="15.75" customHeight="1" x14ac:dyDescent="0.55000000000000004">
      <c r="L62" s="3"/>
    </row>
    <row r="63" spans="12:12" ht="15.75" customHeight="1" x14ac:dyDescent="0.55000000000000004">
      <c r="L63" s="3"/>
    </row>
    <row r="64" spans="12:12" ht="15.75" customHeight="1" x14ac:dyDescent="0.55000000000000004">
      <c r="L64" s="3"/>
    </row>
    <row r="65" spans="12:12" ht="15.75" customHeight="1" x14ac:dyDescent="0.55000000000000004">
      <c r="L65" s="3"/>
    </row>
    <row r="66" spans="12:12" ht="15.75" customHeight="1" x14ac:dyDescent="0.55000000000000004">
      <c r="L66" s="3"/>
    </row>
    <row r="67" spans="12:12" ht="15.75" customHeight="1" x14ac:dyDescent="0.55000000000000004">
      <c r="L67" s="3"/>
    </row>
    <row r="68" spans="12:12" ht="15.75" customHeight="1" x14ac:dyDescent="0.55000000000000004">
      <c r="L68" s="3"/>
    </row>
    <row r="69" spans="12:12" ht="15.75" customHeight="1" x14ac:dyDescent="0.55000000000000004">
      <c r="L69" s="3"/>
    </row>
    <row r="70" spans="12:12" ht="15.75" customHeight="1" x14ac:dyDescent="0.55000000000000004">
      <c r="L70" s="3"/>
    </row>
    <row r="71" spans="12:12" ht="15.75" customHeight="1" x14ac:dyDescent="0.55000000000000004">
      <c r="L71" s="3"/>
    </row>
    <row r="72" spans="12:12" ht="15.75" customHeight="1" x14ac:dyDescent="0.55000000000000004">
      <c r="L72" s="3"/>
    </row>
    <row r="73" spans="12:12" ht="15.75" customHeight="1" x14ac:dyDescent="0.55000000000000004">
      <c r="L73" s="3"/>
    </row>
    <row r="74" spans="12:12" ht="15.75" customHeight="1" x14ac:dyDescent="0.55000000000000004">
      <c r="L74" s="3"/>
    </row>
    <row r="75" spans="12:12" ht="15.75" customHeight="1" x14ac:dyDescent="0.55000000000000004">
      <c r="L75" s="3"/>
    </row>
    <row r="76" spans="12:12" ht="15.75" customHeight="1" x14ac:dyDescent="0.55000000000000004">
      <c r="L76" s="3"/>
    </row>
    <row r="77" spans="12:12" ht="15.75" customHeight="1" x14ac:dyDescent="0.55000000000000004">
      <c r="L77" s="3"/>
    </row>
    <row r="78" spans="12:12" ht="15.75" customHeight="1" x14ac:dyDescent="0.55000000000000004">
      <c r="L78" s="3"/>
    </row>
    <row r="79" spans="12:12" ht="15.75" customHeight="1" x14ac:dyDescent="0.55000000000000004">
      <c r="L79" s="3"/>
    </row>
    <row r="80" spans="12:12" ht="15.75" customHeight="1" x14ac:dyDescent="0.55000000000000004">
      <c r="L80" s="3"/>
    </row>
    <row r="81" spans="12:12" ht="15.75" customHeight="1" x14ac:dyDescent="0.55000000000000004">
      <c r="L81" s="3"/>
    </row>
    <row r="82" spans="12:12" ht="15.75" customHeight="1" x14ac:dyDescent="0.55000000000000004">
      <c r="L82" s="3"/>
    </row>
    <row r="83" spans="12:12" ht="15.75" customHeight="1" x14ac:dyDescent="0.55000000000000004">
      <c r="L83" s="3"/>
    </row>
    <row r="84" spans="12:12" ht="15.75" customHeight="1" x14ac:dyDescent="0.55000000000000004">
      <c r="L84" s="3"/>
    </row>
    <row r="85" spans="12:12" ht="15.75" customHeight="1" x14ac:dyDescent="0.55000000000000004">
      <c r="L85" s="3"/>
    </row>
    <row r="86" spans="12:12" ht="15.75" customHeight="1" x14ac:dyDescent="0.55000000000000004">
      <c r="L86" s="3"/>
    </row>
    <row r="87" spans="12:12" ht="15.75" customHeight="1" x14ac:dyDescent="0.55000000000000004">
      <c r="L87" s="3"/>
    </row>
    <row r="88" spans="12:12" ht="15.75" customHeight="1" x14ac:dyDescent="0.55000000000000004">
      <c r="L88" s="3"/>
    </row>
    <row r="89" spans="12:12" ht="15.75" customHeight="1" x14ac:dyDescent="0.55000000000000004">
      <c r="L89" s="3"/>
    </row>
    <row r="90" spans="12:12" ht="15.75" customHeight="1" x14ac:dyDescent="0.55000000000000004">
      <c r="L90" s="3"/>
    </row>
    <row r="91" spans="12:12" ht="15.75" customHeight="1" x14ac:dyDescent="0.55000000000000004">
      <c r="L91" s="3"/>
    </row>
    <row r="92" spans="12:12" ht="15.75" customHeight="1" x14ac:dyDescent="0.55000000000000004">
      <c r="L92" s="3"/>
    </row>
    <row r="93" spans="12:12" ht="15.75" customHeight="1" x14ac:dyDescent="0.55000000000000004">
      <c r="L93" s="3"/>
    </row>
    <row r="94" spans="12:12" ht="15.75" customHeight="1" x14ac:dyDescent="0.55000000000000004">
      <c r="L94" s="3"/>
    </row>
    <row r="95" spans="12:12" ht="15.75" customHeight="1" x14ac:dyDescent="0.55000000000000004">
      <c r="L95" s="3"/>
    </row>
    <row r="96" spans="12:12" ht="15.75" customHeight="1" x14ac:dyDescent="0.55000000000000004">
      <c r="L96" s="3"/>
    </row>
    <row r="97" spans="12:12" ht="15.75" customHeight="1" x14ac:dyDescent="0.55000000000000004">
      <c r="L97" s="3"/>
    </row>
    <row r="98" spans="12:12" ht="15.75" customHeight="1" x14ac:dyDescent="0.55000000000000004">
      <c r="L98" s="3"/>
    </row>
    <row r="99" spans="12:12" ht="15.75" customHeight="1" x14ac:dyDescent="0.55000000000000004">
      <c r="L99" s="3"/>
    </row>
    <row r="100" spans="12:12" ht="15.75" customHeight="1" x14ac:dyDescent="0.55000000000000004">
      <c r="L100" s="3"/>
    </row>
    <row r="101" spans="12:12" ht="15.75" customHeight="1" x14ac:dyDescent="0.55000000000000004">
      <c r="L101" s="3"/>
    </row>
    <row r="102" spans="12:12" ht="15.75" customHeight="1" x14ac:dyDescent="0.55000000000000004">
      <c r="L102" s="3"/>
    </row>
    <row r="103" spans="12:12" ht="15.75" customHeight="1" x14ac:dyDescent="0.55000000000000004">
      <c r="L103" s="3"/>
    </row>
    <row r="104" spans="12:12" ht="15.75" customHeight="1" x14ac:dyDescent="0.55000000000000004">
      <c r="L104" s="3"/>
    </row>
    <row r="105" spans="12:12" ht="15.75" customHeight="1" x14ac:dyDescent="0.55000000000000004">
      <c r="L105" s="3"/>
    </row>
    <row r="106" spans="12:12" ht="15.75" customHeight="1" x14ac:dyDescent="0.55000000000000004">
      <c r="L106" s="3"/>
    </row>
    <row r="107" spans="12:12" ht="15.75" customHeight="1" x14ac:dyDescent="0.55000000000000004">
      <c r="L107" s="3"/>
    </row>
    <row r="108" spans="12:12" ht="15.75" customHeight="1" x14ac:dyDescent="0.55000000000000004">
      <c r="L108" s="3"/>
    </row>
    <row r="109" spans="12:12" ht="15.75" customHeight="1" x14ac:dyDescent="0.55000000000000004">
      <c r="L109" s="3"/>
    </row>
    <row r="110" spans="12:12" ht="15.75" customHeight="1" x14ac:dyDescent="0.55000000000000004">
      <c r="L110" s="3"/>
    </row>
    <row r="111" spans="12:12" ht="15.75" customHeight="1" x14ac:dyDescent="0.55000000000000004">
      <c r="L111" s="3"/>
    </row>
    <row r="112" spans="12:12" ht="15.75" customHeight="1" x14ac:dyDescent="0.55000000000000004">
      <c r="L112" s="3"/>
    </row>
    <row r="113" spans="12:12" ht="15.75" customHeight="1" x14ac:dyDescent="0.55000000000000004">
      <c r="L113" s="3"/>
    </row>
    <row r="114" spans="12:12" ht="15.75" customHeight="1" x14ac:dyDescent="0.55000000000000004">
      <c r="L114" s="3"/>
    </row>
    <row r="115" spans="12:12" ht="15.75" customHeight="1" x14ac:dyDescent="0.55000000000000004">
      <c r="L115" s="3"/>
    </row>
    <row r="116" spans="12:12" ht="15.75" customHeight="1" x14ac:dyDescent="0.55000000000000004">
      <c r="L116" s="3"/>
    </row>
    <row r="117" spans="12:12" ht="15.75" customHeight="1" x14ac:dyDescent="0.55000000000000004">
      <c r="L117" s="3"/>
    </row>
    <row r="118" spans="12:12" ht="15.75" customHeight="1" x14ac:dyDescent="0.55000000000000004">
      <c r="L118" s="3"/>
    </row>
    <row r="119" spans="12:12" ht="15.75" customHeight="1" x14ac:dyDescent="0.55000000000000004">
      <c r="L119" s="3"/>
    </row>
    <row r="120" spans="12:12" ht="15.75" customHeight="1" x14ac:dyDescent="0.55000000000000004">
      <c r="L120" s="3"/>
    </row>
    <row r="121" spans="12:12" ht="15.75" customHeight="1" x14ac:dyDescent="0.55000000000000004">
      <c r="L121" s="3"/>
    </row>
    <row r="122" spans="12:12" ht="15.75" customHeight="1" x14ac:dyDescent="0.55000000000000004">
      <c r="L122" s="3"/>
    </row>
    <row r="123" spans="12:12" ht="15.75" customHeight="1" x14ac:dyDescent="0.55000000000000004">
      <c r="L123" s="3"/>
    </row>
    <row r="124" spans="12:12" ht="15.75" customHeight="1" x14ac:dyDescent="0.55000000000000004">
      <c r="L124" s="3"/>
    </row>
    <row r="125" spans="12:12" ht="15.75" customHeight="1" x14ac:dyDescent="0.55000000000000004">
      <c r="L125" s="3"/>
    </row>
    <row r="126" spans="12:12" ht="15.75" customHeight="1" x14ac:dyDescent="0.55000000000000004">
      <c r="L126" s="3"/>
    </row>
    <row r="127" spans="12:12" ht="15.75" customHeight="1" x14ac:dyDescent="0.55000000000000004">
      <c r="L127" s="3"/>
    </row>
    <row r="128" spans="12:12" ht="15.75" customHeight="1" x14ac:dyDescent="0.55000000000000004">
      <c r="L128" s="3"/>
    </row>
    <row r="129" spans="12:12" ht="15.75" customHeight="1" x14ac:dyDescent="0.55000000000000004">
      <c r="L129" s="3"/>
    </row>
    <row r="130" spans="12:12" ht="15.75" customHeight="1" x14ac:dyDescent="0.55000000000000004">
      <c r="L130" s="3"/>
    </row>
    <row r="131" spans="12:12" ht="15.75" customHeight="1" x14ac:dyDescent="0.55000000000000004">
      <c r="L131" s="3"/>
    </row>
    <row r="132" spans="12:12" ht="15.75" customHeight="1" x14ac:dyDescent="0.55000000000000004">
      <c r="L132" s="3"/>
    </row>
    <row r="133" spans="12:12" ht="15.75" customHeight="1" x14ac:dyDescent="0.55000000000000004">
      <c r="L133" s="3"/>
    </row>
    <row r="134" spans="12:12" ht="15.75" customHeight="1" x14ac:dyDescent="0.55000000000000004">
      <c r="L134" s="3"/>
    </row>
    <row r="135" spans="12:12" ht="15.75" customHeight="1" x14ac:dyDescent="0.55000000000000004">
      <c r="L135" s="3"/>
    </row>
    <row r="136" spans="12:12" ht="15.75" customHeight="1" x14ac:dyDescent="0.55000000000000004">
      <c r="L136" s="3"/>
    </row>
    <row r="137" spans="12:12" ht="15.75" customHeight="1" x14ac:dyDescent="0.55000000000000004">
      <c r="L137" s="3"/>
    </row>
    <row r="138" spans="12:12" ht="15.75" customHeight="1" x14ac:dyDescent="0.55000000000000004">
      <c r="L138" s="3"/>
    </row>
    <row r="139" spans="12:12" ht="15.75" customHeight="1" x14ac:dyDescent="0.55000000000000004">
      <c r="L139" s="3"/>
    </row>
    <row r="140" spans="12:12" ht="15.75" customHeight="1" x14ac:dyDescent="0.55000000000000004">
      <c r="L140" s="3"/>
    </row>
    <row r="141" spans="12:12" ht="15.75" customHeight="1" x14ac:dyDescent="0.55000000000000004">
      <c r="L141" s="3"/>
    </row>
    <row r="142" spans="12:12" ht="15.75" customHeight="1" x14ac:dyDescent="0.55000000000000004">
      <c r="L142" s="3"/>
    </row>
    <row r="143" spans="12:12" ht="15.75" customHeight="1" x14ac:dyDescent="0.55000000000000004">
      <c r="L143" s="3"/>
    </row>
    <row r="144" spans="12:12" ht="15.75" customHeight="1" x14ac:dyDescent="0.55000000000000004">
      <c r="L144" s="3"/>
    </row>
    <row r="145" spans="12:12" ht="15.75" customHeight="1" x14ac:dyDescent="0.55000000000000004">
      <c r="L145" s="3"/>
    </row>
    <row r="146" spans="12:12" ht="15.75" customHeight="1" x14ac:dyDescent="0.55000000000000004">
      <c r="L146" s="3"/>
    </row>
    <row r="147" spans="12:12" ht="15.75" customHeight="1" x14ac:dyDescent="0.55000000000000004">
      <c r="L147" s="3"/>
    </row>
    <row r="148" spans="12:12" ht="15.75" customHeight="1" x14ac:dyDescent="0.55000000000000004">
      <c r="L148" s="3"/>
    </row>
    <row r="149" spans="12:12" ht="15.75" customHeight="1" x14ac:dyDescent="0.55000000000000004">
      <c r="L149" s="3"/>
    </row>
    <row r="150" spans="12:12" ht="15.75" customHeight="1" x14ac:dyDescent="0.55000000000000004">
      <c r="L150" s="3"/>
    </row>
    <row r="151" spans="12:12" ht="15.75" customHeight="1" x14ac:dyDescent="0.55000000000000004">
      <c r="L151" s="3"/>
    </row>
    <row r="152" spans="12:12" ht="15.75" customHeight="1" x14ac:dyDescent="0.55000000000000004">
      <c r="L152" s="3"/>
    </row>
    <row r="153" spans="12:12" ht="15.75" customHeight="1" x14ac:dyDescent="0.55000000000000004">
      <c r="L153" s="3"/>
    </row>
    <row r="154" spans="12:12" ht="15.75" customHeight="1" x14ac:dyDescent="0.55000000000000004">
      <c r="L154" s="3"/>
    </row>
    <row r="155" spans="12:12" ht="15.75" customHeight="1" x14ac:dyDescent="0.55000000000000004">
      <c r="L155" s="3"/>
    </row>
    <row r="156" spans="12:12" ht="15.75" customHeight="1" x14ac:dyDescent="0.55000000000000004">
      <c r="L156" s="3"/>
    </row>
    <row r="157" spans="12:12" ht="15.75" customHeight="1" x14ac:dyDescent="0.55000000000000004">
      <c r="L157" s="3"/>
    </row>
    <row r="158" spans="12:12" ht="15.75" customHeight="1" x14ac:dyDescent="0.55000000000000004">
      <c r="L158" s="3"/>
    </row>
    <row r="159" spans="12:12" ht="15.75" customHeight="1" x14ac:dyDescent="0.55000000000000004">
      <c r="L159" s="3"/>
    </row>
    <row r="160" spans="12:12" ht="15.75" customHeight="1" x14ac:dyDescent="0.55000000000000004">
      <c r="L160" s="3"/>
    </row>
    <row r="161" spans="12:12" ht="15.75" customHeight="1" x14ac:dyDescent="0.55000000000000004">
      <c r="L161" s="3"/>
    </row>
    <row r="162" spans="12:12" ht="15.75" customHeight="1" x14ac:dyDescent="0.55000000000000004">
      <c r="L162" s="3"/>
    </row>
    <row r="163" spans="12:12" ht="15.75" customHeight="1" x14ac:dyDescent="0.55000000000000004">
      <c r="L163" s="3"/>
    </row>
    <row r="164" spans="12:12" ht="15.75" customHeight="1" x14ac:dyDescent="0.55000000000000004">
      <c r="L164" s="3"/>
    </row>
    <row r="165" spans="12:12" ht="15.75" customHeight="1" x14ac:dyDescent="0.55000000000000004">
      <c r="L165" s="3"/>
    </row>
    <row r="166" spans="12:12" ht="15.75" customHeight="1" x14ac:dyDescent="0.55000000000000004">
      <c r="L166" s="3"/>
    </row>
    <row r="167" spans="12:12" ht="15.75" customHeight="1" x14ac:dyDescent="0.55000000000000004">
      <c r="L167" s="3"/>
    </row>
    <row r="168" spans="12:12" ht="15.75" customHeight="1" x14ac:dyDescent="0.55000000000000004">
      <c r="L168" s="3"/>
    </row>
    <row r="169" spans="12:12" ht="15.75" customHeight="1" x14ac:dyDescent="0.55000000000000004">
      <c r="L169" s="3"/>
    </row>
    <row r="170" spans="12:12" ht="15.75" customHeight="1" x14ac:dyDescent="0.55000000000000004">
      <c r="L170" s="3"/>
    </row>
    <row r="171" spans="12:12" ht="15.75" customHeight="1" x14ac:dyDescent="0.55000000000000004">
      <c r="L171" s="3"/>
    </row>
    <row r="172" spans="12:12" ht="15.75" customHeight="1" x14ac:dyDescent="0.55000000000000004">
      <c r="L172" s="3"/>
    </row>
    <row r="173" spans="12:12" ht="15.75" customHeight="1" x14ac:dyDescent="0.55000000000000004">
      <c r="L173" s="3"/>
    </row>
    <row r="174" spans="12:12" ht="15.75" customHeight="1" x14ac:dyDescent="0.55000000000000004">
      <c r="L174" s="3"/>
    </row>
    <row r="175" spans="12:12" ht="15.75" customHeight="1" x14ac:dyDescent="0.55000000000000004">
      <c r="L175" s="3"/>
    </row>
    <row r="176" spans="12:12" ht="15.75" customHeight="1" x14ac:dyDescent="0.55000000000000004">
      <c r="L176" s="3"/>
    </row>
    <row r="177" spans="12:12" ht="15.75" customHeight="1" x14ac:dyDescent="0.55000000000000004">
      <c r="L177" s="3"/>
    </row>
    <row r="178" spans="12:12" ht="15.75" customHeight="1" x14ac:dyDescent="0.55000000000000004">
      <c r="L178" s="3"/>
    </row>
    <row r="179" spans="12:12" ht="15.75" customHeight="1" x14ac:dyDescent="0.55000000000000004">
      <c r="L179" s="3"/>
    </row>
    <row r="180" spans="12:12" ht="15.75" customHeight="1" x14ac:dyDescent="0.55000000000000004">
      <c r="L180" s="3"/>
    </row>
    <row r="181" spans="12:12" ht="15.75" customHeight="1" x14ac:dyDescent="0.55000000000000004">
      <c r="L181" s="3"/>
    </row>
    <row r="182" spans="12:12" ht="15.75" customHeight="1" x14ac:dyDescent="0.55000000000000004">
      <c r="L182" s="3"/>
    </row>
    <row r="183" spans="12:12" ht="15.75" customHeight="1" x14ac:dyDescent="0.55000000000000004">
      <c r="L183" s="3"/>
    </row>
    <row r="184" spans="12:12" ht="15.75" customHeight="1" x14ac:dyDescent="0.55000000000000004">
      <c r="L184" s="3"/>
    </row>
    <row r="185" spans="12:12" ht="15.75" customHeight="1" x14ac:dyDescent="0.55000000000000004">
      <c r="L185" s="3"/>
    </row>
    <row r="186" spans="12:12" ht="15.75" customHeight="1" x14ac:dyDescent="0.55000000000000004">
      <c r="L186" s="3"/>
    </row>
    <row r="187" spans="12:12" ht="15.75" customHeight="1" x14ac:dyDescent="0.55000000000000004">
      <c r="L187" s="3"/>
    </row>
    <row r="188" spans="12:12" ht="15.75" customHeight="1" x14ac:dyDescent="0.55000000000000004">
      <c r="L188" s="3"/>
    </row>
    <row r="189" spans="12:12" ht="15.75" customHeight="1" x14ac:dyDescent="0.55000000000000004">
      <c r="L189" s="3"/>
    </row>
    <row r="190" spans="12:12" ht="15.75" customHeight="1" x14ac:dyDescent="0.55000000000000004">
      <c r="L190" s="3"/>
    </row>
    <row r="191" spans="12:12" ht="15.75" customHeight="1" x14ac:dyDescent="0.55000000000000004">
      <c r="L191" s="3"/>
    </row>
    <row r="192" spans="12:12" ht="15.75" customHeight="1" x14ac:dyDescent="0.55000000000000004">
      <c r="L192" s="3"/>
    </row>
    <row r="193" spans="12:12" ht="15.75" customHeight="1" x14ac:dyDescent="0.55000000000000004">
      <c r="L193" s="3"/>
    </row>
    <row r="194" spans="12:12" ht="15.75" customHeight="1" x14ac:dyDescent="0.55000000000000004">
      <c r="L194" s="3"/>
    </row>
    <row r="195" spans="12:12" ht="15.75" customHeight="1" x14ac:dyDescent="0.55000000000000004">
      <c r="L195" s="3"/>
    </row>
    <row r="196" spans="12:12" ht="15.75" customHeight="1" x14ac:dyDescent="0.55000000000000004">
      <c r="L196" s="3"/>
    </row>
    <row r="197" spans="12:12" ht="15.75" customHeight="1" x14ac:dyDescent="0.55000000000000004">
      <c r="L197" s="3"/>
    </row>
    <row r="198" spans="12:12" ht="15.75" customHeight="1" x14ac:dyDescent="0.55000000000000004">
      <c r="L198" s="3"/>
    </row>
    <row r="199" spans="12:12" ht="15.75" customHeight="1" x14ac:dyDescent="0.55000000000000004">
      <c r="L199" s="3"/>
    </row>
    <row r="200" spans="12:12" ht="15.75" customHeight="1" x14ac:dyDescent="0.55000000000000004">
      <c r="L200" s="3"/>
    </row>
    <row r="201" spans="12:12" ht="15.75" customHeight="1" x14ac:dyDescent="0.55000000000000004">
      <c r="L201" s="3"/>
    </row>
    <row r="202" spans="12:12" ht="15.75" customHeight="1" x14ac:dyDescent="0.55000000000000004">
      <c r="L202" s="3"/>
    </row>
    <row r="203" spans="12:12" ht="15.75" customHeight="1" x14ac:dyDescent="0.55000000000000004">
      <c r="L203" s="3"/>
    </row>
    <row r="204" spans="12:12" ht="15.75" customHeight="1" x14ac:dyDescent="0.55000000000000004">
      <c r="L204" s="3"/>
    </row>
    <row r="205" spans="12:12" ht="15.75" customHeight="1" x14ac:dyDescent="0.55000000000000004">
      <c r="L205" s="3"/>
    </row>
    <row r="206" spans="12:12" ht="15.75" customHeight="1" x14ac:dyDescent="0.55000000000000004">
      <c r="L206" s="3"/>
    </row>
    <row r="207" spans="12:12" ht="15.75" customHeight="1" x14ac:dyDescent="0.55000000000000004">
      <c r="L207" s="3"/>
    </row>
    <row r="208" spans="12:12" ht="15.75" customHeight="1" x14ac:dyDescent="0.55000000000000004">
      <c r="L208" s="3"/>
    </row>
    <row r="209" spans="12:12" ht="15.75" customHeight="1" x14ac:dyDescent="0.55000000000000004">
      <c r="L209" s="3"/>
    </row>
    <row r="210" spans="12:12" ht="15.75" customHeight="1" x14ac:dyDescent="0.55000000000000004">
      <c r="L210" s="3"/>
    </row>
    <row r="211" spans="12:12" ht="15.75" customHeight="1" x14ac:dyDescent="0.55000000000000004">
      <c r="L211" s="3"/>
    </row>
    <row r="212" spans="12:12" ht="15.75" customHeight="1" x14ac:dyDescent="0.55000000000000004">
      <c r="L212" s="3"/>
    </row>
    <row r="213" spans="12:12" ht="15.75" customHeight="1" x14ac:dyDescent="0.55000000000000004">
      <c r="L213" s="3"/>
    </row>
    <row r="214" spans="12:12" ht="15.75" customHeight="1" x14ac:dyDescent="0.55000000000000004">
      <c r="L214" s="3"/>
    </row>
    <row r="215" spans="12:12" ht="15.75" customHeight="1" x14ac:dyDescent="0.55000000000000004">
      <c r="L215" s="3"/>
    </row>
    <row r="216" spans="12:12" ht="15.75" customHeight="1" x14ac:dyDescent="0.55000000000000004">
      <c r="L216" s="3"/>
    </row>
    <row r="217" spans="12:12" ht="15.75" customHeight="1" x14ac:dyDescent="0.55000000000000004">
      <c r="L217" s="3"/>
    </row>
    <row r="218" spans="12:12" ht="15.75" customHeight="1" x14ac:dyDescent="0.55000000000000004">
      <c r="L218" s="3"/>
    </row>
    <row r="219" spans="12:12" ht="15.75" customHeight="1" x14ac:dyDescent="0.55000000000000004">
      <c r="L219" s="3"/>
    </row>
    <row r="220" spans="12:12" ht="15.75" customHeight="1" x14ac:dyDescent="0.55000000000000004">
      <c r="L220" s="3"/>
    </row>
    <row r="221" spans="12:12" ht="15.75" customHeight="1" x14ac:dyDescent="0.55000000000000004">
      <c r="L221" s="3"/>
    </row>
    <row r="222" spans="12:12" ht="15.75" customHeight="1" x14ac:dyDescent="0.55000000000000004">
      <c r="L222" s="3"/>
    </row>
    <row r="223" spans="12:12" ht="15.75" customHeight="1" x14ac:dyDescent="0.55000000000000004">
      <c r="L223" s="3"/>
    </row>
    <row r="224" spans="12:12" ht="15.75" customHeight="1" x14ac:dyDescent="0.55000000000000004">
      <c r="L224" s="3"/>
    </row>
    <row r="225" spans="12:12" ht="15.75" customHeight="1" x14ac:dyDescent="0.55000000000000004">
      <c r="L225" s="3"/>
    </row>
    <row r="226" spans="12:12" ht="15.75" customHeight="1" x14ac:dyDescent="0.55000000000000004">
      <c r="L226" s="3"/>
    </row>
    <row r="227" spans="12:12" ht="15.75" customHeight="1" x14ac:dyDescent="0.55000000000000004">
      <c r="L227" s="3"/>
    </row>
    <row r="228" spans="12:12" ht="15.75" customHeight="1" x14ac:dyDescent="0.55000000000000004">
      <c r="L228" s="3"/>
    </row>
    <row r="229" spans="12:12" ht="15.75" customHeight="1" x14ac:dyDescent="0.55000000000000004">
      <c r="L229" s="3"/>
    </row>
    <row r="230" spans="12:12" ht="15.75" customHeight="1" x14ac:dyDescent="0.55000000000000004">
      <c r="L230" s="3"/>
    </row>
    <row r="231" spans="12:12" ht="15.75" customHeight="1" x14ac:dyDescent="0.55000000000000004">
      <c r="L231" s="3"/>
    </row>
    <row r="232" spans="12:12" ht="15.75" customHeight="1" x14ac:dyDescent="0.55000000000000004">
      <c r="L232" s="3"/>
    </row>
    <row r="233" spans="12:12" ht="15.75" customHeight="1" x14ac:dyDescent="0.55000000000000004">
      <c r="L233" s="3"/>
    </row>
    <row r="234" spans="12:12" ht="15.75" customHeight="1" x14ac:dyDescent="0.55000000000000004">
      <c r="L234" s="3"/>
    </row>
    <row r="235" spans="12:12" ht="15.75" customHeight="1" x14ac:dyDescent="0.55000000000000004">
      <c r="L235" s="3"/>
    </row>
    <row r="236" spans="12:12" ht="15.75" customHeight="1" x14ac:dyDescent="0.55000000000000004">
      <c r="L236" s="3"/>
    </row>
    <row r="237" spans="12:12" ht="15.75" customHeight="1" x14ac:dyDescent="0.55000000000000004">
      <c r="L237" s="3"/>
    </row>
    <row r="238" spans="12:12" ht="15.75" customHeight="1" x14ac:dyDescent="0.55000000000000004">
      <c r="L238" s="3"/>
    </row>
    <row r="239" spans="12:12" ht="15.75" customHeight="1" x14ac:dyDescent="0.55000000000000004">
      <c r="L239" s="3"/>
    </row>
    <row r="240" spans="12:12" ht="15.75" customHeight="1" x14ac:dyDescent="0.55000000000000004">
      <c r="L240" s="3"/>
    </row>
    <row r="241" spans="12:12" ht="15.75" customHeight="1" x14ac:dyDescent="0.55000000000000004">
      <c r="L241" s="3"/>
    </row>
    <row r="242" spans="12:12" ht="15.75" customHeight="1" x14ac:dyDescent="0.55000000000000004">
      <c r="L242" s="3"/>
    </row>
    <row r="243" spans="12:12" ht="15.75" customHeight="1" x14ac:dyDescent="0.55000000000000004">
      <c r="L243" s="3"/>
    </row>
    <row r="244" spans="12:12" ht="15.75" customHeight="1" x14ac:dyDescent="0.55000000000000004">
      <c r="L244" s="3"/>
    </row>
    <row r="245" spans="12:12" ht="15.75" customHeight="1" x14ac:dyDescent="0.55000000000000004">
      <c r="L245" s="3"/>
    </row>
    <row r="246" spans="12:12" ht="15.75" customHeight="1" x14ac:dyDescent="0.55000000000000004">
      <c r="L246" s="3"/>
    </row>
    <row r="247" spans="12:12" ht="15.75" customHeight="1" x14ac:dyDescent="0.55000000000000004">
      <c r="L247" s="3"/>
    </row>
    <row r="248" spans="12:12" ht="15.75" customHeight="1" x14ac:dyDescent="0.55000000000000004">
      <c r="L248" s="3"/>
    </row>
    <row r="249" spans="12:12" ht="15.75" customHeight="1" x14ac:dyDescent="0.55000000000000004">
      <c r="L249" s="3"/>
    </row>
    <row r="250" spans="12:12" ht="15.75" customHeight="1" x14ac:dyDescent="0.55000000000000004">
      <c r="L250" s="3"/>
    </row>
    <row r="251" spans="12:12" ht="15.75" customHeight="1" x14ac:dyDescent="0.55000000000000004">
      <c r="L251" s="3"/>
    </row>
    <row r="252" spans="12:12" ht="15.75" customHeight="1" x14ac:dyDescent="0.55000000000000004">
      <c r="L252" s="3"/>
    </row>
    <row r="253" spans="12:12" ht="15.75" customHeight="1" x14ac:dyDescent="0.55000000000000004">
      <c r="L253" s="3"/>
    </row>
    <row r="254" spans="12:12" ht="15.75" customHeight="1" x14ac:dyDescent="0.55000000000000004">
      <c r="L254" s="3"/>
    </row>
    <row r="255" spans="12:12" ht="15.75" customHeight="1" x14ac:dyDescent="0.55000000000000004">
      <c r="L255" s="3"/>
    </row>
    <row r="256" spans="12:12" ht="15.75" customHeight="1" x14ac:dyDescent="0.55000000000000004">
      <c r="L256" s="3"/>
    </row>
    <row r="257" spans="12:12" ht="15.75" customHeight="1" x14ac:dyDescent="0.55000000000000004">
      <c r="L257" s="3"/>
    </row>
    <row r="258" spans="12:12" ht="15.75" customHeight="1" x14ac:dyDescent="0.55000000000000004">
      <c r="L258" s="3"/>
    </row>
    <row r="259" spans="12:12" ht="15.75" customHeight="1" x14ac:dyDescent="0.55000000000000004">
      <c r="L259" s="3"/>
    </row>
    <row r="260" spans="12:12" ht="15.75" customHeight="1" x14ac:dyDescent="0.55000000000000004">
      <c r="L260" s="3"/>
    </row>
    <row r="261" spans="12:12" ht="15.75" customHeight="1" x14ac:dyDescent="0.55000000000000004">
      <c r="L261" s="3"/>
    </row>
    <row r="262" spans="12:12" ht="15.75" customHeight="1" x14ac:dyDescent="0.55000000000000004">
      <c r="L262" s="3"/>
    </row>
    <row r="263" spans="12:12" ht="15.75" customHeight="1" x14ac:dyDescent="0.55000000000000004">
      <c r="L263" s="3"/>
    </row>
    <row r="264" spans="12:12" ht="15.75" customHeight="1" x14ac:dyDescent="0.55000000000000004">
      <c r="L264" s="3"/>
    </row>
    <row r="265" spans="12:12" ht="15.75" customHeight="1" x14ac:dyDescent="0.55000000000000004">
      <c r="L265" s="3"/>
    </row>
    <row r="266" spans="12:12" ht="15.75" customHeight="1" x14ac:dyDescent="0.55000000000000004">
      <c r="L266" s="3"/>
    </row>
    <row r="267" spans="12:12" ht="15.75" customHeight="1" x14ac:dyDescent="0.55000000000000004">
      <c r="L267" s="3"/>
    </row>
    <row r="268" spans="12:12" ht="15.75" customHeight="1" x14ac:dyDescent="0.55000000000000004">
      <c r="L268" s="3"/>
    </row>
    <row r="269" spans="12:12" ht="15.75" customHeight="1" x14ac:dyDescent="0.55000000000000004">
      <c r="L269" s="3"/>
    </row>
    <row r="270" spans="12:12" ht="15.75" customHeight="1" x14ac:dyDescent="0.55000000000000004">
      <c r="L270" s="3"/>
    </row>
    <row r="271" spans="12:12" ht="15.75" customHeight="1" x14ac:dyDescent="0.55000000000000004">
      <c r="L271" s="3"/>
    </row>
    <row r="272" spans="12:12" ht="15.75" customHeight="1" x14ac:dyDescent="0.55000000000000004">
      <c r="L272" s="3"/>
    </row>
    <row r="273" spans="12:12" ht="15.75" customHeight="1" x14ac:dyDescent="0.55000000000000004">
      <c r="L273" s="3"/>
    </row>
    <row r="274" spans="12:12" ht="15.75" customHeight="1" x14ac:dyDescent="0.55000000000000004">
      <c r="L274" s="3"/>
    </row>
    <row r="275" spans="12:12" ht="15.75" customHeight="1" x14ac:dyDescent="0.55000000000000004">
      <c r="L275" s="3"/>
    </row>
    <row r="276" spans="12:12" ht="15.75" customHeight="1" x14ac:dyDescent="0.55000000000000004">
      <c r="L276" s="3"/>
    </row>
    <row r="277" spans="12:12" ht="15.75" customHeight="1" x14ac:dyDescent="0.55000000000000004">
      <c r="L277" s="3"/>
    </row>
    <row r="278" spans="12:12" ht="15.75" customHeight="1" x14ac:dyDescent="0.55000000000000004">
      <c r="L278" s="3"/>
    </row>
    <row r="279" spans="12:12" ht="15.75" customHeight="1" x14ac:dyDescent="0.55000000000000004">
      <c r="L279" s="3"/>
    </row>
    <row r="280" spans="12:12" ht="15.75" customHeight="1" x14ac:dyDescent="0.55000000000000004">
      <c r="L280" s="3"/>
    </row>
    <row r="281" spans="12:12" ht="15.75" customHeight="1" x14ac:dyDescent="0.55000000000000004">
      <c r="L281" s="3"/>
    </row>
    <row r="282" spans="12:12" ht="15.75" customHeight="1" x14ac:dyDescent="0.55000000000000004">
      <c r="L282" s="3"/>
    </row>
    <row r="283" spans="12:12" ht="15.75" customHeight="1" x14ac:dyDescent="0.55000000000000004">
      <c r="L283" s="3"/>
    </row>
    <row r="284" spans="12:12" ht="15.75" customHeight="1" x14ac:dyDescent="0.55000000000000004">
      <c r="L284" s="3"/>
    </row>
    <row r="285" spans="12:12" ht="15.75" customHeight="1" x14ac:dyDescent="0.55000000000000004">
      <c r="L285" s="3"/>
    </row>
    <row r="286" spans="12:12" ht="15.75" customHeight="1" x14ac:dyDescent="0.55000000000000004">
      <c r="L286" s="3"/>
    </row>
    <row r="287" spans="12:12" ht="15.75" customHeight="1" x14ac:dyDescent="0.55000000000000004">
      <c r="L287" s="3"/>
    </row>
    <row r="288" spans="12:12" ht="15.75" customHeight="1" x14ac:dyDescent="0.55000000000000004">
      <c r="L288" s="3"/>
    </row>
    <row r="289" spans="12:12" ht="15.75" customHeight="1" x14ac:dyDescent="0.55000000000000004">
      <c r="L289" s="3"/>
    </row>
    <row r="290" spans="12:12" ht="15.75" customHeight="1" x14ac:dyDescent="0.55000000000000004">
      <c r="L290" s="3"/>
    </row>
    <row r="291" spans="12:12" ht="15.75" customHeight="1" x14ac:dyDescent="0.55000000000000004">
      <c r="L291" s="3"/>
    </row>
    <row r="292" spans="12:12" ht="15.75" customHeight="1" x14ac:dyDescent="0.55000000000000004">
      <c r="L292" s="3"/>
    </row>
    <row r="293" spans="12:12" ht="15.75" customHeight="1" x14ac:dyDescent="0.55000000000000004">
      <c r="L293" s="3"/>
    </row>
    <row r="294" spans="12:12" ht="15.75" customHeight="1" x14ac:dyDescent="0.55000000000000004">
      <c r="L294" s="3"/>
    </row>
    <row r="295" spans="12:12" ht="15.75" customHeight="1" x14ac:dyDescent="0.55000000000000004">
      <c r="L295" s="3"/>
    </row>
    <row r="296" spans="12:12" ht="15.75" customHeight="1" x14ac:dyDescent="0.55000000000000004">
      <c r="L296" s="3"/>
    </row>
    <row r="297" spans="12:12" ht="15.75" customHeight="1" x14ac:dyDescent="0.55000000000000004">
      <c r="L297" s="3"/>
    </row>
    <row r="298" spans="12:12" ht="15.75" customHeight="1" x14ac:dyDescent="0.55000000000000004">
      <c r="L298" s="3"/>
    </row>
    <row r="299" spans="12:12" ht="15.75" customHeight="1" x14ac:dyDescent="0.55000000000000004">
      <c r="L299" s="3"/>
    </row>
    <row r="300" spans="12:12" ht="15.75" customHeight="1" x14ac:dyDescent="0.55000000000000004">
      <c r="L300" s="3"/>
    </row>
    <row r="301" spans="12:12" ht="15.75" customHeight="1" x14ac:dyDescent="0.55000000000000004">
      <c r="L301" s="3"/>
    </row>
    <row r="302" spans="12:12" ht="15.75" customHeight="1" x14ac:dyDescent="0.55000000000000004">
      <c r="L302" s="3"/>
    </row>
    <row r="303" spans="12:12" ht="15.75" customHeight="1" x14ac:dyDescent="0.55000000000000004">
      <c r="L303" s="3"/>
    </row>
    <row r="304" spans="12:12" ht="15.75" customHeight="1" x14ac:dyDescent="0.55000000000000004">
      <c r="L304" s="3"/>
    </row>
    <row r="305" spans="12:12" ht="15.75" customHeight="1" x14ac:dyDescent="0.55000000000000004">
      <c r="L305" s="3"/>
    </row>
    <row r="306" spans="12:12" ht="15.75" customHeight="1" x14ac:dyDescent="0.55000000000000004">
      <c r="L306" s="3"/>
    </row>
    <row r="307" spans="12:12" ht="15.75" customHeight="1" x14ac:dyDescent="0.55000000000000004">
      <c r="L307" s="3"/>
    </row>
    <row r="308" spans="12:12" ht="15.75" customHeight="1" x14ac:dyDescent="0.55000000000000004">
      <c r="L308" s="3"/>
    </row>
    <row r="309" spans="12:12" ht="15.75" customHeight="1" x14ac:dyDescent="0.55000000000000004">
      <c r="L309" s="3"/>
    </row>
    <row r="310" spans="12:12" ht="15.75" customHeight="1" x14ac:dyDescent="0.55000000000000004">
      <c r="L310" s="3"/>
    </row>
    <row r="311" spans="12:12" ht="15.75" customHeight="1" x14ac:dyDescent="0.55000000000000004">
      <c r="L311" s="3"/>
    </row>
    <row r="312" spans="12:12" ht="15.75" customHeight="1" x14ac:dyDescent="0.55000000000000004">
      <c r="L312" s="3"/>
    </row>
    <row r="313" spans="12:12" ht="15.75" customHeight="1" x14ac:dyDescent="0.55000000000000004">
      <c r="L313" s="3"/>
    </row>
    <row r="314" spans="12:12" ht="15.75" customHeight="1" x14ac:dyDescent="0.55000000000000004">
      <c r="L314" s="3"/>
    </row>
    <row r="315" spans="12:12" ht="15.75" customHeight="1" x14ac:dyDescent="0.55000000000000004">
      <c r="L315" s="3"/>
    </row>
    <row r="316" spans="12:12" ht="15.75" customHeight="1" x14ac:dyDescent="0.55000000000000004">
      <c r="L316" s="3"/>
    </row>
    <row r="317" spans="12:12" ht="15.75" customHeight="1" x14ac:dyDescent="0.55000000000000004">
      <c r="L317" s="3"/>
    </row>
    <row r="318" spans="12:12" ht="15.75" customHeight="1" x14ac:dyDescent="0.55000000000000004">
      <c r="L318" s="3"/>
    </row>
    <row r="319" spans="12:12" ht="15.75" customHeight="1" x14ac:dyDescent="0.55000000000000004">
      <c r="L319" s="3"/>
    </row>
    <row r="320" spans="12:12" ht="15.75" customHeight="1" x14ac:dyDescent="0.55000000000000004">
      <c r="L320" s="3"/>
    </row>
    <row r="321" spans="12:12" ht="15.75" customHeight="1" x14ac:dyDescent="0.55000000000000004">
      <c r="L321" s="3"/>
    </row>
    <row r="322" spans="12:12" ht="15.75" customHeight="1" x14ac:dyDescent="0.55000000000000004">
      <c r="L322" s="3"/>
    </row>
    <row r="323" spans="12:12" ht="15.75" customHeight="1" x14ac:dyDescent="0.55000000000000004">
      <c r="L323" s="3"/>
    </row>
    <row r="324" spans="12:12" ht="15.75" customHeight="1" x14ac:dyDescent="0.55000000000000004">
      <c r="L324" s="3"/>
    </row>
    <row r="325" spans="12:12" ht="15.75" customHeight="1" x14ac:dyDescent="0.55000000000000004">
      <c r="L325" s="3"/>
    </row>
    <row r="326" spans="12:12" ht="15.75" customHeight="1" x14ac:dyDescent="0.55000000000000004">
      <c r="L326" s="3"/>
    </row>
    <row r="327" spans="12:12" ht="15.75" customHeight="1" x14ac:dyDescent="0.55000000000000004">
      <c r="L327" s="3"/>
    </row>
    <row r="328" spans="12:12" ht="15.75" customHeight="1" x14ac:dyDescent="0.55000000000000004">
      <c r="L328" s="3"/>
    </row>
    <row r="329" spans="12:12" ht="15.75" customHeight="1" x14ac:dyDescent="0.55000000000000004">
      <c r="L329" s="3"/>
    </row>
    <row r="330" spans="12:12" ht="15.75" customHeight="1" x14ac:dyDescent="0.55000000000000004">
      <c r="L330" s="3"/>
    </row>
    <row r="331" spans="12:12" ht="15.75" customHeight="1" x14ac:dyDescent="0.55000000000000004">
      <c r="L331" s="3"/>
    </row>
    <row r="332" spans="12:12" ht="15.75" customHeight="1" x14ac:dyDescent="0.55000000000000004">
      <c r="L332" s="3"/>
    </row>
    <row r="333" spans="12:12" ht="15.75" customHeight="1" x14ac:dyDescent="0.55000000000000004">
      <c r="L333" s="3"/>
    </row>
    <row r="334" spans="12:12" ht="15.75" customHeight="1" x14ac:dyDescent="0.55000000000000004">
      <c r="L334" s="3"/>
    </row>
    <row r="335" spans="12:12" ht="15.75" customHeight="1" x14ac:dyDescent="0.55000000000000004">
      <c r="L335" s="3"/>
    </row>
    <row r="336" spans="12:12" ht="15.75" customHeight="1" x14ac:dyDescent="0.55000000000000004">
      <c r="L336" s="3"/>
    </row>
    <row r="337" spans="12:12" ht="15.75" customHeight="1" x14ac:dyDescent="0.55000000000000004">
      <c r="L337" s="3"/>
    </row>
    <row r="338" spans="12:12" ht="15.75" customHeight="1" x14ac:dyDescent="0.55000000000000004">
      <c r="L338" s="3"/>
    </row>
    <row r="339" spans="12:12" ht="15.75" customHeight="1" x14ac:dyDescent="0.55000000000000004">
      <c r="L339" s="3"/>
    </row>
    <row r="340" spans="12:12" ht="15.75" customHeight="1" x14ac:dyDescent="0.55000000000000004">
      <c r="L340" s="3"/>
    </row>
    <row r="341" spans="12:12" ht="15.75" customHeight="1" x14ac:dyDescent="0.55000000000000004">
      <c r="L341" s="3"/>
    </row>
    <row r="342" spans="12:12" ht="15.75" customHeight="1" x14ac:dyDescent="0.55000000000000004">
      <c r="L342" s="3"/>
    </row>
    <row r="343" spans="12:12" ht="15.75" customHeight="1" x14ac:dyDescent="0.55000000000000004">
      <c r="L343" s="3"/>
    </row>
    <row r="344" spans="12:12" ht="15.75" customHeight="1" x14ac:dyDescent="0.55000000000000004">
      <c r="L344" s="3"/>
    </row>
    <row r="345" spans="12:12" ht="15.75" customHeight="1" x14ac:dyDescent="0.55000000000000004">
      <c r="L345" s="3"/>
    </row>
    <row r="346" spans="12:12" ht="15.75" customHeight="1" x14ac:dyDescent="0.55000000000000004">
      <c r="L346" s="3"/>
    </row>
    <row r="347" spans="12:12" ht="15.75" customHeight="1" x14ac:dyDescent="0.55000000000000004">
      <c r="L347" s="3"/>
    </row>
    <row r="348" spans="12:12" ht="15.75" customHeight="1" x14ac:dyDescent="0.55000000000000004">
      <c r="L348" s="3"/>
    </row>
    <row r="349" spans="12:12" ht="15.75" customHeight="1" x14ac:dyDescent="0.55000000000000004">
      <c r="L349" s="3"/>
    </row>
    <row r="350" spans="12:12" ht="15.75" customHeight="1" x14ac:dyDescent="0.55000000000000004">
      <c r="L350" s="3"/>
    </row>
    <row r="351" spans="12:12" ht="15.75" customHeight="1" x14ac:dyDescent="0.55000000000000004">
      <c r="L351" s="3"/>
    </row>
    <row r="352" spans="12:12" ht="15.75" customHeight="1" x14ac:dyDescent="0.55000000000000004">
      <c r="L352" s="3"/>
    </row>
    <row r="353" spans="12:12" ht="15.75" customHeight="1" x14ac:dyDescent="0.55000000000000004">
      <c r="L353" s="3"/>
    </row>
    <row r="354" spans="12:12" ht="15.75" customHeight="1" x14ac:dyDescent="0.55000000000000004">
      <c r="L354" s="3"/>
    </row>
    <row r="355" spans="12:12" ht="15.75" customHeight="1" x14ac:dyDescent="0.55000000000000004">
      <c r="L355" s="3"/>
    </row>
    <row r="356" spans="12:12" ht="15.75" customHeight="1" x14ac:dyDescent="0.55000000000000004">
      <c r="L356" s="3"/>
    </row>
    <row r="357" spans="12:12" ht="15.75" customHeight="1" x14ac:dyDescent="0.55000000000000004">
      <c r="L357" s="3"/>
    </row>
    <row r="358" spans="12:12" ht="15.75" customHeight="1" x14ac:dyDescent="0.55000000000000004">
      <c r="L358" s="3"/>
    </row>
    <row r="359" spans="12:12" ht="15.75" customHeight="1" x14ac:dyDescent="0.55000000000000004">
      <c r="L359" s="3"/>
    </row>
    <row r="360" spans="12:12" ht="15.75" customHeight="1" x14ac:dyDescent="0.55000000000000004">
      <c r="L360" s="3"/>
    </row>
    <row r="361" spans="12:12" ht="15.75" customHeight="1" x14ac:dyDescent="0.55000000000000004">
      <c r="L361" s="3"/>
    </row>
    <row r="362" spans="12:12" ht="15.75" customHeight="1" x14ac:dyDescent="0.55000000000000004">
      <c r="L362" s="3"/>
    </row>
    <row r="363" spans="12:12" ht="15.75" customHeight="1" x14ac:dyDescent="0.55000000000000004">
      <c r="L363" s="3"/>
    </row>
    <row r="364" spans="12:12" ht="15.75" customHeight="1" x14ac:dyDescent="0.55000000000000004">
      <c r="L364" s="3"/>
    </row>
    <row r="365" spans="12:12" ht="15.75" customHeight="1" x14ac:dyDescent="0.55000000000000004">
      <c r="L365" s="3"/>
    </row>
    <row r="366" spans="12:12" ht="15.75" customHeight="1" x14ac:dyDescent="0.55000000000000004">
      <c r="L366" s="3"/>
    </row>
    <row r="367" spans="12:12" ht="15.75" customHeight="1" x14ac:dyDescent="0.55000000000000004">
      <c r="L367" s="3"/>
    </row>
    <row r="368" spans="12:12" ht="15.75" customHeight="1" x14ac:dyDescent="0.55000000000000004">
      <c r="L368" s="3"/>
    </row>
    <row r="369" spans="12:12" ht="15.75" customHeight="1" x14ac:dyDescent="0.55000000000000004">
      <c r="L369" s="3"/>
    </row>
    <row r="370" spans="12:12" ht="15.75" customHeight="1" x14ac:dyDescent="0.55000000000000004">
      <c r="L370" s="3"/>
    </row>
    <row r="371" spans="12:12" ht="15.75" customHeight="1" x14ac:dyDescent="0.55000000000000004">
      <c r="L371" s="3"/>
    </row>
    <row r="372" spans="12:12" ht="15.75" customHeight="1" x14ac:dyDescent="0.55000000000000004">
      <c r="L372" s="3"/>
    </row>
    <row r="373" spans="12:12" ht="15.75" customHeight="1" x14ac:dyDescent="0.55000000000000004">
      <c r="L373" s="3"/>
    </row>
    <row r="374" spans="12:12" ht="15.75" customHeight="1" x14ac:dyDescent="0.55000000000000004">
      <c r="L374" s="3"/>
    </row>
    <row r="375" spans="12:12" ht="15.75" customHeight="1" x14ac:dyDescent="0.55000000000000004">
      <c r="L375" s="3"/>
    </row>
    <row r="376" spans="12:12" ht="15.75" customHeight="1" x14ac:dyDescent="0.55000000000000004">
      <c r="L376" s="3"/>
    </row>
    <row r="377" spans="12:12" ht="15.75" customHeight="1" x14ac:dyDescent="0.55000000000000004">
      <c r="L377" s="3"/>
    </row>
    <row r="378" spans="12:12" ht="15.75" customHeight="1" x14ac:dyDescent="0.55000000000000004">
      <c r="L378" s="3"/>
    </row>
    <row r="379" spans="12:12" ht="15.75" customHeight="1" x14ac:dyDescent="0.55000000000000004">
      <c r="L379" s="3"/>
    </row>
    <row r="380" spans="12:12" ht="15.75" customHeight="1" x14ac:dyDescent="0.55000000000000004">
      <c r="L380" s="3"/>
    </row>
    <row r="381" spans="12:12" ht="15.75" customHeight="1" x14ac:dyDescent="0.55000000000000004">
      <c r="L381" s="3"/>
    </row>
    <row r="382" spans="12:12" ht="15.75" customHeight="1" x14ac:dyDescent="0.55000000000000004">
      <c r="L382" s="3"/>
    </row>
    <row r="383" spans="12:12" ht="15.75" customHeight="1" x14ac:dyDescent="0.55000000000000004">
      <c r="L383" s="3"/>
    </row>
    <row r="384" spans="12:12" ht="15.75" customHeight="1" x14ac:dyDescent="0.55000000000000004">
      <c r="L384" s="3"/>
    </row>
    <row r="385" spans="12:12" ht="15.75" customHeight="1" x14ac:dyDescent="0.55000000000000004">
      <c r="L385" s="3"/>
    </row>
    <row r="386" spans="12:12" ht="15.75" customHeight="1" x14ac:dyDescent="0.55000000000000004">
      <c r="L386" s="3"/>
    </row>
    <row r="387" spans="12:12" ht="15.75" customHeight="1" x14ac:dyDescent="0.55000000000000004">
      <c r="L387" s="3"/>
    </row>
    <row r="388" spans="12:12" ht="15.75" customHeight="1" x14ac:dyDescent="0.55000000000000004">
      <c r="L388" s="3"/>
    </row>
    <row r="389" spans="12:12" ht="15.75" customHeight="1" x14ac:dyDescent="0.55000000000000004">
      <c r="L389" s="3"/>
    </row>
    <row r="390" spans="12:12" ht="15.75" customHeight="1" x14ac:dyDescent="0.55000000000000004">
      <c r="L390" s="3"/>
    </row>
    <row r="391" spans="12:12" ht="15.75" customHeight="1" x14ac:dyDescent="0.55000000000000004">
      <c r="L391" s="3"/>
    </row>
    <row r="392" spans="12:12" ht="15.75" customHeight="1" x14ac:dyDescent="0.55000000000000004">
      <c r="L392" s="3"/>
    </row>
    <row r="393" spans="12:12" ht="15.75" customHeight="1" x14ac:dyDescent="0.55000000000000004">
      <c r="L393" s="3"/>
    </row>
    <row r="394" spans="12:12" ht="15.75" customHeight="1" x14ac:dyDescent="0.55000000000000004">
      <c r="L394" s="3"/>
    </row>
    <row r="395" spans="12:12" ht="15.75" customHeight="1" x14ac:dyDescent="0.55000000000000004">
      <c r="L395" s="3"/>
    </row>
    <row r="396" spans="12:12" ht="15.75" customHeight="1" x14ac:dyDescent="0.55000000000000004">
      <c r="L396" s="3"/>
    </row>
    <row r="397" spans="12:12" ht="15.75" customHeight="1" x14ac:dyDescent="0.55000000000000004">
      <c r="L397" s="3"/>
    </row>
    <row r="398" spans="12:12" ht="15.75" customHeight="1" x14ac:dyDescent="0.55000000000000004">
      <c r="L398" s="3"/>
    </row>
    <row r="399" spans="12:12" ht="15.75" customHeight="1" x14ac:dyDescent="0.55000000000000004">
      <c r="L399" s="3"/>
    </row>
    <row r="400" spans="12:12" ht="15.75" customHeight="1" x14ac:dyDescent="0.55000000000000004">
      <c r="L400" s="3"/>
    </row>
    <row r="401" spans="12:12" ht="15.75" customHeight="1" x14ac:dyDescent="0.55000000000000004">
      <c r="L401" s="3"/>
    </row>
    <row r="402" spans="12:12" ht="15.75" customHeight="1" x14ac:dyDescent="0.55000000000000004">
      <c r="L402" s="3"/>
    </row>
    <row r="403" spans="12:12" ht="15.75" customHeight="1" x14ac:dyDescent="0.55000000000000004">
      <c r="L403" s="3"/>
    </row>
    <row r="404" spans="12:12" ht="15.75" customHeight="1" x14ac:dyDescent="0.55000000000000004">
      <c r="L404" s="3"/>
    </row>
    <row r="405" spans="12:12" ht="15.75" customHeight="1" x14ac:dyDescent="0.55000000000000004">
      <c r="L405" s="3"/>
    </row>
    <row r="406" spans="12:12" ht="15.75" customHeight="1" x14ac:dyDescent="0.55000000000000004">
      <c r="L406" s="3"/>
    </row>
    <row r="407" spans="12:12" ht="15.75" customHeight="1" x14ac:dyDescent="0.55000000000000004">
      <c r="L407" s="3"/>
    </row>
    <row r="408" spans="12:12" ht="15.75" customHeight="1" x14ac:dyDescent="0.55000000000000004">
      <c r="L408" s="3"/>
    </row>
    <row r="409" spans="12:12" ht="15.75" customHeight="1" x14ac:dyDescent="0.55000000000000004">
      <c r="L409" s="3"/>
    </row>
    <row r="410" spans="12:12" ht="15.75" customHeight="1" x14ac:dyDescent="0.55000000000000004">
      <c r="L410" s="3"/>
    </row>
    <row r="411" spans="12:12" ht="15.75" customHeight="1" x14ac:dyDescent="0.55000000000000004">
      <c r="L411" s="3"/>
    </row>
    <row r="412" spans="12:12" ht="15.75" customHeight="1" x14ac:dyDescent="0.55000000000000004">
      <c r="L412" s="3"/>
    </row>
    <row r="413" spans="12:12" ht="15.75" customHeight="1" x14ac:dyDescent="0.55000000000000004">
      <c r="L413" s="3"/>
    </row>
    <row r="414" spans="12:12" ht="15.75" customHeight="1" x14ac:dyDescent="0.55000000000000004">
      <c r="L414" s="3"/>
    </row>
    <row r="415" spans="12:12" ht="15.75" customHeight="1" x14ac:dyDescent="0.55000000000000004">
      <c r="L415" s="3"/>
    </row>
    <row r="416" spans="12:12" ht="15.75" customHeight="1" x14ac:dyDescent="0.55000000000000004">
      <c r="L416" s="3"/>
    </row>
    <row r="417" spans="12:12" ht="15.75" customHeight="1" x14ac:dyDescent="0.55000000000000004">
      <c r="L417" s="3"/>
    </row>
    <row r="418" spans="12:12" ht="15.75" customHeight="1" x14ac:dyDescent="0.55000000000000004">
      <c r="L418" s="3"/>
    </row>
    <row r="419" spans="12:12" ht="15.75" customHeight="1" x14ac:dyDescent="0.55000000000000004">
      <c r="L419" s="3"/>
    </row>
    <row r="420" spans="12:12" ht="15.75" customHeight="1" x14ac:dyDescent="0.55000000000000004">
      <c r="L420" s="3"/>
    </row>
    <row r="421" spans="12:12" ht="15.75" customHeight="1" x14ac:dyDescent="0.55000000000000004">
      <c r="L421" s="3"/>
    </row>
    <row r="422" spans="12:12" ht="15.75" customHeight="1" x14ac:dyDescent="0.55000000000000004">
      <c r="L422" s="3"/>
    </row>
    <row r="423" spans="12:12" ht="15.75" customHeight="1" x14ac:dyDescent="0.55000000000000004">
      <c r="L423" s="3"/>
    </row>
    <row r="424" spans="12:12" ht="15.75" customHeight="1" x14ac:dyDescent="0.55000000000000004">
      <c r="L424" s="3"/>
    </row>
    <row r="425" spans="12:12" ht="15.75" customHeight="1" x14ac:dyDescent="0.55000000000000004">
      <c r="L425" s="3"/>
    </row>
    <row r="426" spans="12:12" ht="15.75" customHeight="1" x14ac:dyDescent="0.55000000000000004">
      <c r="L426" s="3"/>
    </row>
    <row r="427" spans="12:12" ht="15.75" customHeight="1" x14ac:dyDescent="0.55000000000000004">
      <c r="L427" s="3"/>
    </row>
    <row r="428" spans="12:12" ht="15.75" customHeight="1" x14ac:dyDescent="0.55000000000000004">
      <c r="L428" s="3"/>
    </row>
    <row r="429" spans="12:12" ht="15.75" customHeight="1" x14ac:dyDescent="0.55000000000000004">
      <c r="L429" s="3"/>
    </row>
    <row r="430" spans="12:12" ht="15.75" customHeight="1" x14ac:dyDescent="0.55000000000000004">
      <c r="L430" s="3"/>
    </row>
    <row r="431" spans="12:12" ht="15.75" customHeight="1" x14ac:dyDescent="0.55000000000000004">
      <c r="L431" s="3"/>
    </row>
    <row r="432" spans="12:12" ht="15.75" customHeight="1" x14ac:dyDescent="0.55000000000000004">
      <c r="L432" s="3"/>
    </row>
    <row r="433" spans="12:12" ht="15.75" customHeight="1" x14ac:dyDescent="0.55000000000000004">
      <c r="L433" s="3"/>
    </row>
    <row r="434" spans="12:12" ht="15.75" customHeight="1" x14ac:dyDescent="0.55000000000000004">
      <c r="L434" s="3"/>
    </row>
    <row r="435" spans="12:12" ht="15.75" customHeight="1" x14ac:dyDescent="0.55000000000000004">
      <c r="L435" s="3"/>
    </row>
    <row r="436" spans="12:12" ht="15.75" customHeight="1" x14ac:dyDescent="0.55000000000000004">
      <c r="L436" s="3"/>
    </row>
    <row r="437" spans="12:12" ht="15.75" customHeight="1" x14ac:dyDescent="0.55000000000000004">
      <c r="L437" s="3"/>
    </row>
    <row r="438" spans="12:12" ht="15.75" customHeight="1" x14ac:dyDescent="0.55000000000000004">
      <c r="L438" s="3"/>
    </row>
    <row r="439" spans="12:12" ht="15.75" customHeight="1" x14ac:dyDescent="0.55000000000000004">
      <c r="L439" s="3"/>
    </row>
    <row r="440" spans="12:12" ht="15.75" customHeight="1" x14ac:dyDescent="0.55000000000000004">
      <c r="L440" s="3"/>
    </row>
    <row r="441" spans="12:12" ht="15.75" customHeight="1" x14ac:dyDescent="0.55000000000000004">
      <c r="L441" s="3"/>
    </row>
    <row r="442" spans="12:12" ht="15.75" customHeight="1" x14ac:dyDescent="0.55000000000000004">
      <c r="L442" s="3"/>
    </row>
    <row r="443" spans="12:12" ht="15.75" customHeight="1" x14ac:dyDescent="0.55000000000000004">
      <c r="L443" s="3"/>
    </row>
    <row r="444" spans="12:12" ht="15.75" customHeight="1" x14ac:dyDescent="0.55000000000000004">
      <c r="L444" s="3"/>
    </row>
    <row r="445" spans="12:12" ht="15.75" customHeight="1" x14ac:dyDescent="0.55000000000000004">
      <c r="L445" s="3"/>
    </row>
    <row r="446" spans="12:12" ht="15.75" customHeight="1" x14ac:dyDescent="0.55000000000000004">
      <c r="L446" s="3"/>
    </row>
    <row r="447" spans="12:12" ht="15.75" customHeight="1" x14ac:dyDescent="0.55000000000000004">
      <c r="L447" s="3"/>
    </row>
    <row r="448" spans="12:12" ht="15.75" customHeight="1" x14ac:dyDescent="0.55000000000000004">
      <c r="L448" s="3"/>
    </row>
    <row r="449" spans="12:12" ht="15.75" customHeight="1" x14ac:dyDescent="0.55000000000000004">
      <c r="L449" s="3"/>
    </row>
    <row r="450" spans="12:12" ht="15.75" customHeight="1" x14ac:dyDescent="0.55000000000000004">
      <c r="L450" s="3"/>
    </row>
    <row r="451" spans="12:12" ht="15.75" customHeight="1" x14ac:dyDescent="0.55000000000000004">
      <c r="L451" s="3"/>
    </row>
    <row r="452" spans="12:12" ht="15.75" customHeight="1" x14ac:dyDescent="0.55000000000000004">
      <c r="L452" s="3"/>
    </row>
    <row r="453" spans="12:12" ht="15.75" customHeight="1" x14ac:dyDescent="0.55000000000000004">
      <c r="L453" s="3"/>
    </row>
    <row r="454" spans="12:12" ht="15.75" customHeight="1" x14ac:dyDescent="0.55000000000000004">
      <c r="L454" s="3"/>
    </row>
    <row r="455" spans="12:12" ht="15.75" customHeight="1" x14ac:dyDescent="0.55000000000000004">
      <c r="L455" s="3"/>
    </row>
    <row r="456" spans="12:12" ht="15.75" customHeight="1" x14ac:dyDescent="0.55000000000000004">
      <c r="L456" s="3"/>
    </row>
    <row r="457" spans="12:12" ht="15.75" customHeight="1" x14ac:dyDescent="0.55000000000000004">
      <c r="L457" s="3"/>
    </row>
    <row r="458" spans="12:12" ht="15.75" customHeight="1" x14ac:dyDescent="0.55000000000000004">
      <c r="L458" s="3"/>
    </row>
    <row r="459" spans="12:12" ht="15.75" customHeight="1" x14ac:dyDescent="0.55000000000000004">
      <c r="L459" s="3"/>
    </row>
    <row r="460" spans="12:12" ht="15.75" customHeight="1" x14ac:dyDescent="0.55000000000000004">
      <c r="L460" s="3"/>
    </row>
    <row r="461" spans="12:12" ht="15.75" customHeight="1" x14ac:dyDescent="0.55000000000000004">
      <c r="L461" s="3"/>
    </row>
    <row r="462" spans="12:12" ht="15.75" customHeight="1" x14ac:dyDescent="0.55000000000000004">
      <c r="L462" s="3"/>
    </row>
    <row r="463" spans="12:12" ht="15.75" customHeight="1" x14ac:dyDescent="0.55000000000000004">
      <c r="L463" s="3"/>
    </row>
    <row r="464" spans="12:12" ht="15.75" customHeight="1" x14ac:dyDescent="0.55000000000000004">
      <c r="L464" s="3"/>
    </row>
    <row r="465" spans="12:12" ht="15.75" customHeight="1" x14ac:dyDescent="0.55000000000000004">
      <c r="L465" s="3"/>
    </row>
    <row r="466" spans="12:12" ht="15.75" customHeight="1" x14ac:dyDescent="0.55000000000000004">
      <c r="L466" s="3"/>
    </row>
    <row r="467" spans="12:12" ht="15.75" customHeight="1" x14ac:dyDescent="0.55000000000000004">
      <c r="L467" s="3"/>
    </row>
    <row r="468" spans="12:12" ht="15.75" customHeight="1" x14ac:dyDescent="0.55000000000000004">
      <c r="L468" s="3"/>
    </row>
    <row r="469" spans="12:12" ht="15.75" customHeight="1" x14ac:dyDescent="0.55000000000000004">
      <c r="L469" s="3"/>
    </row>
    <row r="470" spans="12:12" ht="15.75" customHeight="1" x14ac:dyDescent="0.55000000000000004">
      <c r="L470" s="3"/>
    </row>
    <row r="471" spans="12:12" ht="15.75" customHeight="1" x14ac:dyDescent="0.55000000000000004">
      <c r="L471" s="3"/>
    </row>
    <row r="472" spans="12:12" ht="15.75" customHeight="1" x14ac:dyDescent="0.55000000000000004">
      <c r="L472" s="3"/>
    </row>
    <row r="473" spans="12:12" ht="15.75" customHeight="1" x14ac:dyDescent="0.55000000000000004">
      <c r="L473" s="3"/>
    </row>
    <row r="474" spans="12:12" ht="15.75" customHeight="1" x14ac:dyDescent="0.55000000000000004">
      <c r="L474" s="3"/>
    </row>
    <row r="475" spans="12:12" ht="15.75" customHeight="1" x14ac:dyDescent="0.55000000000000004">
      <c r="L475" s="3"/>
    </row>
    <row r="476" spans="12:12" ht="15.75" customHeight="1" x14ac:dyDescent="0.55000000000000004">
      <c r="L476" s="3"/>
    </row>
    <row r="477" spans="12:12" ht="15.75" customHeight="1" x14ac:dyDescent="0.55000000000000004">
      <c r="L477" s="3"/>
    </row>
    <row r="478" spans="12:12" ht="15.75" customHeight="1" x14ac:dyDescent="0.55000000000000004">
      <c r="L478" s="3"/>
    </row>
    <row r="479" spans="12:12" ht="15.75" customHeight="1" x14ac:dyDescent="0.55000000000000004">
      <c r="L479" s="3"/>
    </row>
    <row r="480" spans="12:12" ht="15.75" customHeight="1" x14ac:dyDescent="0.55000000000000004">
      <c r="L480" s="3"/>
    </row>
    <row r="481" spans="12:12" ht="15.75" customHeight="1" x14ac:dyDescent="0.55000000000000004">
      <c r="L481" s="3"/>
    </row>
    <row r="482" spans="12:12" ht="15.75" customHeight="1" x14ac:dyDescent="0.55000000000000004">
      <c r="L482" s="3"/>
    </row>
    <row r="483" spans="12:12" ht="15.75" customHeight="1" x14ac:dyDescent="0.55000000000000004">
      <c r="L483" s="3"/>
    </row>
    <row r="484" spans="12:12" ht="15.75" customHeight="1" x14ac:dyDescent="0.55000000000000004">
      <c r="L484" s="3"/>
    </row>
    <row r="485" spans="12:12" ht="15.75" customHeight="1" x14ac:dyDescent="0.55000000000000004">
      <c r="L485" s="3"/>
    </row>
    <row r="486" spans="12:12" ht="15.75" customHeight="1" x14ac:dyDescent="0.55000000000000004">
      <c r="L486" s="3"/>
    </row>
    <row r="487" spans="12:12" ht="15.75" customHeight="1" x14ac:dyDescent="0.55000000000000004">
      <c r="L487" s="3"/>
    </row>
    <row r="488" spans="12:12" ht="15.75" customHeight="1" x14ac:dyDescent="0.55000000000000004">
      <c r="L488" s="3"/>
    </row>
    <row r="489" spans="12:12" ht="15.75" customHeight="1" x14ac:dyDescent="0.55000000000000004">
      <c r="L489" s="3"/>
    </row>
    <row r="490" spans="12:12" ht="15.75" customHeight="1" x14ac:dyDescent="0.55000000000000004">
      <c r="L490" s="3"/>
    </row>
    <row r="491" spans="12:12" ht="15.75" customHeight="1" x14ac:dyDescent="0.55000000000000004">
      <c r="L491" s="3"/>
    </row>
    <row r="492" spans="12:12" ht="15.75" customHeight="1" x14ac:dyDescent="0.55000000000000004">
      <c r="L492" s="3"/>
    </row>
    <row r="493" spans="12:12" ht="15.75" customHeight="1" x14ac:dyDescent="0.55000000000000004">
      <c r="L493" s="3"/>
    </row>
    <row r="494" spans="12:12" ht="15.75" customHeight="1" x14ac:dyDescent="0.55000000000000004">
      <c r="L494" s="3"/>
    </row>
    <row r="495" spans="12:12" ht="15.75" customHeight="1" x14ac:dyDescent="0.55000000000000004">
      <c r="L495" s="3"/>
    </row>
    <row r="496" spans="12:12" ht="15.75" customHeight="1" x14ac:dyDescent="0.55000000000000004">
      <c r="L496" s="3"/>
    </row>
    <row r="497" spans="12:12" ht="15.75" customHeight="1" x14ac:dyDescent="0.55000000000000004">
      <c r="L497" s="3"/>
    </row>
    <row r="498" spans="12:12" ht="15.75" customHeight="1" x14ac:dyDescent="0.55000000000000004">
      <c r="L498" s="3"/>
    </row>
    <row r="499" spans="12:12" ht="15.75" customHeight="1" x14ac:dyDescent="0.55000000000000004">
      <c r="L499" s="3"/>
    </row>
    <row r="500" spans="12:12" ht="15.75" customHeight="1" x14ac:dyDescent="0.55000000000000004">
      <c r="L500" s="3"/>
    </row>
    <row r="501" spans="12:12" ht="15.75" customHeight="1" x14ac:dyDescent="0.55000000000000004">
      <c r="L501" s="3"/>
    </row>
    <row r="502" spans="12:12" ht="15.75" customHeight="1" x14ac:dyDescent="0.55000000000000004">
      <c r="L502" s="3"/>
    </row>
    <row r="503" spans="12:12" ht="15.75" customHeight="1" x14ac:dyDescent="0.55000000000000004">
      <c r="L503" s="3"/>
    </row>
    <row r="504" spans="12:12" ht="15.75" customHeight="1" x14ac:dyDescent="0.55000000000000004">
      <c r="L504" s="3"/>
    </row>
    <row r="505" spans="12:12" ht="15.75" customHeight="1" x14ac:dyDescent="0.55000000000000004">
      <c r="L505" s="3"/>
    </row>
    <row r="506" spans="12:12" ht="15.75" customHeight="1" x14ac:dyDescent="0.55000000000000004">
      <c r="L506" s="3"/>
    </row>
    <row r="507" spans="12:12" ht="15.75" customHeight="1" x14ac:dyDescent="0.55000000000000004">
      <c r="L507" s="3"/>
    </row>
    <row r="508" spans="12:12" ht="15.75" customHeight="1" x14ac:dyDescent="0.55000000000000004">
      <c r="L508" s="3"/>
    </row>
    <row r="509" spans="12:12" ht="15.75" customHeight="1" x14ac:dyDescent="0.55000000000000004">
      <c r="L509" s="3"/>
    </row>
    <row r="510" spans="12:12" ht="15.75" customHeight="1" x14ac:dyDescent="0.55000000000000004">
      <c r="L510" s="3"/>
    </row>
    <row r="511" spans="12:12" ht="15.75" customHeight="1" x14ac:dyDescent="0.55000000000000004">
      <c r="L511" s="3"/>
    </row>
    <row r="512" spans="12:12" ht="15.75" customHeight="1" x14ac:dyDescent="0.55000000000000004">
      <c r="L512" s="3"/>
    </row>
    <row r="513" spans="12:12" ht="15.75" customHeight="1" x14ac:dyDescent="0.55000000000000004">
      <c r="L513" s="3"/>
    </row>
    <row r="514" spans="12:12" ht="15.75" customHeight="1" x14ac:dyDescent="0.55000000000000004">
      <c r="L514" s="3"/>
    </row>
    <row r="515" spans="12:12" ht="15.75" customHeight="1" x14ac:dyDescent="0.55000000000000004">
      <c r="L515" s="3"/>
    </row>
    <row r="516" spans="12:12" ht="15.75" customHeight="1" x14ac:dyDescent="0.55000000000000004">
      <c r="L516" s="3"/>
    </row>
    <row r="517" spans="12:12" ht="15.75" customHeight="1" x14ac:dyDescent="0.55000000000000004">
      <c r="L517" s="3"/>
    </row>
    <row r="518" spans="12:12" ht="15.75" customHeight="1" x14ac:dyDescent="0.55000000000000004">
      <c r="L518" s="3"/>
    </row>
    <row r="519" spans="12:12" ht="15.75" customHeight="1" x14ac:dyDescent="0.55000000000000004">
      <c r="L519" s="3"/>
    </row>
    <row r="520" spans="12:12" ht="15.75" customHeight="1" x14ac:dyDescent="0.55000000000000004">
      <c r="L520" s="3"/>
    </row>
    <row r="521" spans="12:12" ht="15.75" customHeight="1" x14ac:dyDescent="0.55000000000000004">
      <c r="L521" s="3"/>
    </row>
    <row r="522" spans="12:12" ht="15.75" customHeight="1" x14ac:dyDescent="0.55000000000000004">
      <c r="L522" s="3"/>
    </row>
    <row r="523" spans="12:12" ht="15.75" customHeight="1" x14ac:dyDescent="0.55000000000000004">
      <c r="L523" s="3"/>
    </row>
    <row r="524" spans="12:12" ht="15.75" customHeight="1" x14ac:dyDescent="0.55000000000000004">
      <c r="L524" s="3"/>
    </row>
    <row r="525" spans="12:12" ht="15.75" customHeight="1" x14ac:dyDescent="0.55000000000000004">
      <c r="L525" s="3"/>
    </row>
    <row r="526" spans="12:12" ht="15.75" customHeight="1" x14ac:dyDescent="0.55000000000000004">
      <c r="L526" s="3"/>
    </row>
    <row r="527" spans="12:12" ht="15.75" customHeight="1" x14ac:dyDescent="0.55000000000000004">
      <c r="L527" s="3"/>
    </row>
    <row r="528" spans="12:12" ht="15.75" customHeight="1" x14ac:dyDescent="0.55000000000000004">
      <c r="L528" s="3"/>
    </row>
    <row r="529" spans="12:12" ht="15.75" customHeight="1" x14ac:dyDescent="0.55000000000000004">
      <c r="L529" s="3"/>
    </row>
    <row r="530" spans="12:12" ht="15.75" customHeight="1" x14ac:dyDescent="0.55000000000000004">
      <c r="L530" s="3"/>
    </row>
    <row r="531" spans="12:12" ht="15.75" customHeight="1" x14ac:dyDescent="0.55000000000000004">
      <c r="L531" s="3"/>
    </row>
    <row r="532" spans="12:12" ht="15.75" customHeight="1" x14ac:dyDescent="0.55000000000000004">
      <c r="L532" s="3"/>
    </row>
    <row r="533" spans="12:12" ht="15.75" customHeight="1" x14ac:dyDescent="0.55000000000000004">
      <c r="L533" s="3"/>
    </row>
    <row r="534" spans="12:12" ht="15.75" customHeight="1" x14ac:dyDescent="0.55000000000000004">
      <c r="L534" s="3"/>
    </row>
    <row r="535" spans="12:12" ht="15.75" customHeight="1" x14ac:dyDescent="0.55000000000000004">
      <c r="L535" s="3"/>
    </row>
    <row r="536" spans="12:12" ht="15.75" customHeight="1" x14ac:dyDescent="0.55000000000000004">
      <c r="L536" s="3"/>
    </row>
    <row r="537" spans="12:12" ht="15.75" customHeight="1" x14ac:dyDescent="0.55000000000000004">
      <c r="L537" s="3"/>
    </row>
    <row r="538" spans="12:12" ht="15.75" customHeight="1" x14ac:dyDescent="0.55000000000000004">
      <c r="L538" s="3"/>
    </row>
    <row r="539" spans="12:12" ht="15.75" customHeight="1" x14ac:dyDescent="0.55000000000000004">
      <c r="L539" s="3"/>
    </row>
    <row r="540" spans="12:12" ht="15.75" customHeight="1" x14ac:dyDescent="0.55000000000000004">
      <c r="L540" s="3"/>
    </row>
    <row r="541" spans="12:12" ht="15.75" customHeight="1" x14ac:dyDescent="0.55000000000000004">
      <c r="L541" s="3"/>
    </row>
    <row r="542" spans="12:12" ht="15.75" customHeight="1" x14ac:dyDescent="0.55000000000000004">
      <c r="L542" s="3"/>
    </row>
    <row r="543" spans="12:12" ht="15.75" customHeight="1" x14ac:dyDescent="0.55000000000000004">
      <c r="L543" s="3"/>
    </row>
    <row r="544" spans="12:12" ht="15.75" customHeight="1" x14ac:dyDescent="0.55000000000000004">
      <c r="L544" s="3"/>
    </row>
    <row r="545" spans="12:12" ht="15.75" customHeight="1" x14ac:dyDescent="0.55000000000000004">
      <c r="L545" s="3"/>
    </row>
    <row r="546" spans="12:12" ht="15.75" customHeight="1" x14ac:dyDescent="0.55000000000000004">
      <c r="L546" s="3"/>
    </row>
    <row r="547" spans="12:12" ht="15.75" customHeight="1" x14ac:dyDescent="0.55000000000000004">
      <c r="L547" s="3"/>
    </row>
    <row r="548" spans="12:12" ht="15.75" customHeight="1" x14ac:dyDescent="0.55000000000000004">
      <c r="L548" s="3"/>
    </row>
    <row r="549" spans="12:12" ht="15.75" customHeight="1" x14ac:dyDescent="0.55000000000000004">
      <c r="L549" s="3"/>
    </row>
    <row r="550" spans="12:12" ht="15.75" customHeight="1" x14ac:dyDescent="0.55000000000000004">
      <c r="L550" s="3"/>
    </row>
    <row r="551" spans="12:12" ht="15.75" customHeight="1" x14ac:dyDescent="0.55000000000000004">
      <c r="L551" s="3"/>
    </row>
    <row r="552" spans="12:12" ht="15.75" customHeight="1" x14ac:dyDescent="0.55000000000000004">
      <c r="L552" s="3"/>
    </row>
    <row r="553" spans="12:12" ht="15.75" customHeight="1" x14ac:dyDescent="0.55000000000000004">
      <c r="L553" s="3"/>
    </row>
    <row r="554" spans="12:12" ht="15.75" customHeight="1" x14ac:dyDescent="0.55000000000000004">
      <c r="L554" s="3"/>
    </row>
    <row r="555" spans="12:12" ht="15.75" customHeight="1" x14ac:dyDescent="0.55000000000000004">
      <c r="L555" s="3"/>
    </row>
    <row r="556" spans="12:12" ht="15.75" customHeight="1" x14ac:dyDescent="0.55000000000000004">
      <c r="L556" s="3"/>
    </row>
    <row r="557" spans="12:12" ht="15.75" customHeight="1" x14ac:dyDescent="0.55000000000000004">
      <c r="L557" s="3"/>
    </row>
    <row r="558" spans="12:12" ht="15.75" customHeight="1" x14ac:dyDescent="0.55000000000000004">
      <c r="L558" s="3"/>
    </row>
    <row r="559" spans="12:12" ht="15.75" customHeight="1" x14ac:dyDescent="0.55000000000000004">
      <c r="L559" s="3"/>
    </row>
    <row r="560" spans="12:12" ht="15.75" customHeight="1" x14ac:dyDescent="0.55000000000000004">
      <c r="L560" s="3"/>
    </row>
    <row r="561" spans="12:12" ht="15.75" customHeight="1" x14ac:dyDescent="0.55000000000000004">
      <c r="L561" s="3"/>
    </row>
    <row r="562" spans="12:12" ht="15.75" customHeight="1" x14ac:dyDescent="0.55000000000000004">
      <c r="L562" s="3"/>
    </row>
    <row r="563" spans="12:12" ht="15.75" customHeight="1" x14ac:dyDescent="0.55000000000000004">
      <c r="L563" s="3"/>
    </row>
    <row r="564" spans="12:12" ht="15.75" customHeight="1" x14ac:dyDescent="0.55000000000000004">
      <c r="L564" s="3"/>
    </row>
    <row r="565" spans="12:12" ht="15.75" customHeight="1" x14ac:dyDescent="0.55000000000000004">
      <c r="L565" s="3"/>
    </row>
    <row r="566" spans="12:12" ht="15.75" customHeight="1" x14ac:dyDescent="0.55000000000000004">
      <c r="L566" s="3"/>
    </row>
    <row r="567" spans="12:12" ht="15.75" customHeight="1" x14ac:dyDescent="0.55000000000000004">
      <c r="L567" s="3"/>
    </row>
    <row r="568" spans="12:12" ht="15.75" customHeight="1" x14ac:dyDescent="0.55000000000000004">
      <c r="L568" s="3"/>
    </row>
    <row r="569" spans="12:12" ht="15.75" customHeight="1" x14ac:dyDescent="0.55000000000000004">
      <c r="L569" s="3"/>
    </row>
    <row r="570" spans="12:12" ht="15.75" customHeight="1" x14ac:dyDescent="0.55000000000000004">
      <c r="L570" s="3"/>
    </row>
    <row r="571" spans="12:12" ht="15.75" customHeight="1" x14ac:dyDescent="0.55000000000000004">
      <c r="L571" s="3"/>
    </row>
    <row r="572" spans="12:12" ht="15.75" customHeight="1" x14ac:dyDescent="0.55000000000000004">
      <c r="L572" s="3"/>
    </row>
    <row r="573" spans="12:12" ht="15.75" customHeight="1" x14ac:dyDescent="0.55000000000000004">
      <c r="L573" s="3"/>
    </row>
    <row r="574" spans="12:12" ht="15.75" customHeight="1" x14ac:dyDescent="0.55000000000000004">
      <c r="L574" s="3"/>
    </row>
    <row r="575" spans="12:12" ht="15.75" customHeight="1" x14ac:dyDescent="0.55000000000000004">
      <c r="L575" s="3"/>
    </row>
    <row r="576" spans="12:12" ht="15.75" customHeight="1" x14ac:dyDescent="0.55000000000000004">
      <c r="L576" s="3"/>
    </row>
    <row r="577" spans="12:12" ht="15.75" customHeight="1" x14ac:dyDescent="0.55000000000000004">
      <c r="L577" s="3"/>
    </row>
    <row r="578" spans="12:12" ht="15.75" customHeight="1" x14ac:dyDescent="0.55000000000000004">
      <c r="L578" s="3"/>
    </row>
    <row r="579" spans="12:12" ht="15.75" customHeight="1" x14ac:dyDescent="0.55000000000000004">
      <c r="L579" s="3"/>
    </row>
    <row r="580" spans="12:12" ht="15.75" customHeight="1" x14ac:dyDescent="0.55000000000000004">
      <c r="L580" s="3"/>
    </row>
    <row r="581" spans="12:12" ht="15.75" customHeight="1" x14ac:dyDescent="0.55000000000000004">
      <c r="L581" s="3"/>
    </row>
    <row r="582" spans="12:12" ht="15.75" customHeight="1" x14ac:dyDescent="0.55000000000000004">
      <c r="L582" s="3"/>
    </row>
    <row r="583" spans="12:12" ht="15.75" customHeight="1" x14ac:dyDescent="0.55000000000000004">
      <c r="L583" s="3"/>
    </row>
    <row r="584" spans="12:12" ht="15.75" customHeight="1" x14ac:dyDescent="0.55000000000000004">
      <c r="L584" s="3"/>
    </row>
    <row r="585" spans="12:12" ht="15.75" customHeight="1" x14ac:dyDescent="0.55000000000000004">
      <c r="L585" s="3"/>
    </row>
    <row r="586" spans="12:12" ht="15.75" customHeight="1" x14ac:dyDescent="0.55000000000000004">
      <c r="L586" s="3"/>
    </row>
    <row r="587" spans="12:12" ht="15.75" customHeight="1" x14ac:dyDescent="0.55000000000000004">
      <c r="L587" s="3"/>
    </row>
    <row r="588" spans="12:12" ht="15.75" customHeight="1" x14ac:dyDescent="0.55000000000000004">
      <c r="L588" s="3"/>
    </row>
    <row r="589" spans="12:12" ht="15.75" customHeight="1" x14ac:dyDescent="0.55000000000000004">
      <c r="L589" s="3"/>
    </row>
    <row r="590" spans="12:12" ht="15.75" customHeight="1" x14ac:dyDescent="0.55000000000000004">
      <c r="L590" s="3"/>
    </row>
    <row r="591" spans="12:12" ht="15.75" customHeight="1" x14ac:dyDescent="0.55000000000000004">
      <c r="L591" s="3"/>
    </row>
    <row r="592" spans="12:12" ht="15.75" customHeight="1" x14ac:dyDescent="0.55000000000000004">
      <c r="L592" s="3"/>
    </row>
    <row r="593" spans="12:12" ht="15.75" customHeight="1" x14ac:dyDescent="0.55000000000000004">
      <c r="L593" s="3"/>
    </row>
    <row r="594" spans="12:12" ht="15.75" customHeight="1" x14ac:dyDescent="0.55000000000000004">
      <c r="L594" s="3"/>
    </row>
    <row r="595" spans="12:12" ht="15.75" customHeight="1" x14ac:dyDescent="0.55000000000000004">
      <c r="L595" s="3"/>
    </row>
    <row r="596" spans="12:12" ht="15.75" customHeight="1" x14ac:dyDescent="0.55000000000000004">
      <c r="L596" s="3"/>
    </row>
    <row r="597" spans="12:12" ht="15.75" customHeight="1" x14ac:dyDescent="0.55000000000000004">
      <c r="L597" s="3"/>
    </row>
    <row r="598" spans="12:12" ht="15.75" customHeight="1" x14ac:dyDescent="0.55000000000000004">
      <c r="L598" s="3"/>
    </row>
    <row r="599" spans="12:12" ht="15.75" customHeight="1" x14ac:dyDescent="0.55000000000000004">
      <c r="L599" s="3"/>
    </row>
    <row r="600" spans="12:12" ht="15.75" customHeight="1" x14ac:dyDescent="0.55000000000000004">
      <c r="L600" s="3"/>
    </row>
    <row r="601" spans="12:12" ht="15.75" customHeight="1" x14ac:dyDescent="0.55000000000000004">
      <c r="L601" s="3"/>
    </row>
    <row r="602" spans="12:12" ht="15.75" customHeight="1" x14ac:dyDescent="0.55000000000000004">
      <c r="L602" s="3"/>
    </row>
    <row r="603" spans="12:12" ht="15.75" customHeight="1" x14ac:dyDescent="0.55000000000000004">
      <c r="L603" s="3"/>
    </row>
    <row r="604" spans="12:12" ht="15.75" customHeight="1" x14ac:dyDescent="0.55000000000000004">
      <c r="L604" s="3"/>
    </row>
    <row r="605" spans="12:12" ht="15.75" customHeight="1" x14ac:dyDescent="0.55000000000000004">
      <c r="L605" s="3"/>
    </row>
    <row r="606" spans="12:12" ht="15.75" customHeight="1" x14ac:dyDescent="0.55000000000000004">
      <c r="L606" s="3"/>
    </row>
    <row r="607" spans="12:12" ht="15.75" customHeight="1" x14ac:dyDescent="0.55000000000000004">
      <c r="L607" s="3"/>
    </row>
    <row r="608" spans="12:12" ht="15.75" customHeight="1" x14ac:dyDescent="0.55000000000000004">
      <c r="L608" s="3"/>
    </row>
    <row r="609" spans="12:12" ht="15.75" customHeight="1" x14ac:dyDescent="0.55000000000000004">
      <c r="L609" s="3"/>
    </row>
    <row r="610" spans="12:12" ht="15.75" customHeight="1" x14ac:dyDescent="0.55000000000000004">
      <c r="L610" s="3"/>
    </row>
    <row r="611" spans="12:12" ht="15.75" customHeight="1" x14ac:dyDescent="0.55000000000000004">
      <c r="L611" s="3"/>
    </row>
    <row r="612" spans="12:12" ht="15.75" customHeight="1" x14ac:dyDescent="0.55000000000000004">
      <c r="L612" s="3"/>
    </row>
    <row r="613" spans="12:12" ht="15.75" customHeight="1" x14ac:dyDescent="0.55000000000000004">
      <c r="L613" s="3"/>
    </row>
    <row r="614" spans="12:12" ht="15.75" customHeight="1" x14ac:dyDescent="0.55000000000000004">
      <c r="L614" s="3"/>
    </row>
    <row r="615" spans="12:12" ht="15.75" customHeight="1" x14ac:dyDescent="0.55000000000000004">
      <c r="L615" s="3"/>
    </row>
    <row r="616" spans="12:12" ht="15.75" customHeight="1" x14ac:dyDescent="0.55000000000000004">
      <c r="L616" s="3"/>
    </row>
    <row r="617" spans="12:12" ht="15.75" customHeight="1" x14ac:dyDescent="0.55000000000000004">
      <c r="L617" s="3"/>
    </row>
    <row r="618" spans="12:12" ht="15.75" customHeight="1" x14ac:dyDescent="0.55000000000000004">
      <c r="L618" s="3"/>
    </row>
    <row r="619" spans="12:12" ht="15.75" customHeight="1" x14ac:dyDescent="0.55000000000000004">
      <c r="L619" s="3"/>
    </row>
    <row r="620" spans="12:12" ht="15.75" customHeight="1" x14ac:dyDescent="0.55000000000000004">
      <c r="L620" s="3"/>
    </row>
    <row r="621" spans="12:12" ht="15.75" customHeight="1" x14ac:dyDescent="0.55000000000000004">
      <c r="L621" s="3"/>
    </row>
    <row r="622" spans="12:12" ht="15.75" customHeight="1" x14ac:dyDescent="0.55000000000000004">
      <c r="L622" s="3"/>
    </row>
    <row r="623" spans="12:12" ht="15.75" customHeight="1" x14ac:dyDescent="0.55000000000000004">
      <c r="L623" s="3"/>
    </row>
    <row r="624" spans="12:12" ht="15.75" customHeight="1" x14ac:dyDescent="0.55000000000000004">
      <c r="L624" s="3"/>
    </row>
    <row r="625" spans="12:12" ht="15.75" customHeight="1" x14ac:dyDescent="0.55000000000000004">
      <c r="L625" s="3"/>
    </row>
    <row r="626" spans="12:12" ht="15.75" customHeight="1" x14ac:dyDescent="0.55000000000000004">
      <c r="L626" s="3"/>
    </row>
    <row r="627" spans="12:12" ht="15.75" customHeight="1" x14ac:dyDescent="0.55000000000000004">
      <c r="L627" s="3"/>
    </row>
    <row r="628" spans="12:12" ht="15.75" customHeight="1" x14ac:dyDescent="0.55000000000000004">
      <c r="L628" s="3"/>
    </row>
    <row r="629" spans="12:12" ht="15.75" customHeight="1" x14ac:dyDescent="0.55000000000000004">
      <c r="L629" s="3"/>
    </row>
    <row r="630" spans="12:12" ht="15.75" customHeight="1" x14ac:dyDescent="0.55000000000000004">
      <c r="L630" s="3"/>
    </row>
    <row r="631" spans="12:12" ht="15.75" customHeight="1" x14ac:dyDescent="0.55000000000000004">
      <c r="L631" s="3"/>
    </row>
    <row r="632" spans="12:12" ht="15.75" customHeight="1" x14ac:dyDescent="0.55000000000000004">
      <c r="L632" s="3"/>
    </row>
    <row r="633" spans="12:12" ht="15.75" customHeight="1" x14ac:dyDescent="0.55000000000000004">
      <c r="L633" s="3"/>
    </row>
    <row r="634" spans="12:12" ht="15.75" customHeight="1" x14ac:dyDescent="0.55000000000000004">
      <c r="L634" s="3"/>
    </row>
    <row r="635" spans="12:12" ht="15.75" customHeight="1" x14ac:dyDescent="0.55000000000000004">
      <c r="L635" s="3"/>
    </row>
    <row r="636" spans="12:12" ht="15.75" customHeight="1" x14ac:dyDescent="0.55000000000000004">
      <c r="L636" s="3"/>
    </row>
    <row r="637" spans="12:12" ht="15.75" customHeight="1" x14ac:dyDescent="0.55000000000000004">
      <c r="L637" s="3"/>
    </row>
    <row r="638" spans="12:12" ht="15.75" customHeight="1" x14ac:dyDescent="0.55000000000000004">
      <c r="L638" s="3"/>
    </row>
    <row r="639" spans="12:12" ht="15.75" customHeight="1" x14ac:dyDescent="0.55000000000000004">
      <c r="L639" s="3"/>
    </row>
    <row r="640" spans="12:12" ht="15.75" customHeight="1" x14ac:dyDescent="0.55000000000000004">
      <c r="L640" s="3"/>
    </row>
    <row r="641" spans="12:12" ht="15.75" customHeight="1" x14ac:dyDescent="0.55000000000000004">
      <c r="L641" s="3"/>
    </row>
    <row r="642" spans="12:12" ht="15.75" customHeight="1" x14ac:dyDescent="0.55000000000000004">
      <c r="L642" s="3"/>
    </row>
    <row r="643" spans="12:12" ht="15.75" customHeight="1" x14ac:dyDescent="0.55000000000000004">
      <c r="L643" s="3"/>
    </row>
    <row r="644" spans="12:12" ht="15.75" customHeight="1" x14ac:dyDescent="0.55000000000000004">
      <c r="L644" s="3"/>
    </row>
    <row r="645" spans="12:12" ht="15.75" customHeight="1" x14ac:dyDescent="0.55000000000000004">
      <c r="L645" s="3"/>
    </row>
    <row r="646" spans="12:12" ht="15.75" customHeight="1" x14ac:dyDescent="0.55000000000000004">
      <c r="L646" s="3"/>
    </row>
    <row r="647" spans="12:12" ht="15.75" customHeight="1" x14ac:dyDescent="0.55000000000000004">
      <c r="L647" s="3"/>
    </row>
    <row r="648" spans="12:12" ht="15.75" customHeight="1" x14ac:dyDescent="0.55000000000000004">
      <c r="L648" s="3"/>
    </row>
    <row r="649" spans="12:12" ht="15.75" customHeight="1" x14ac:dyDescent="0.55000000000000004">
      <c r="L649" s="3"/>
    </row>
    <row r="650" spans="12:12" ht="15.75" customHeight="1" x14ac:dyDescent="0.55000000000000004">
      <c r="L650" s="3"/>
    </row>
    <row r="651" spans="12:12" ht="15.75" customHeight="1" x14ac:dyDescent="0.55000000000000004">
      <c r="L651" s="3"/>
    </row>
    <row r="652" spans="12:12" ht="15.75" customHeight="1" x14ac:dyDescent="0.55000000000000004">
      <c r="L652" s="3"/>
    </row>
    <row r="653" spans="12:12" ht="15.75" customHeight="1" x14ac:dyDescent="0.55000000000000004">
      <c r="L653" s="3"/>
    </row>
    <row r="654" spans="12:12" ht="15.75" customHeight="1" x14ac:dyDescent="0.55000000000000004">
      <c r="L654" s="3"/>
    </row>
    <row r="655" spans="12:12" ht="15.75" customHeight="1" x14ac:dyDescent="0.55000000000000004">
      <c r="L655" s="3"/>
    </row>
    <row r="656" spans="12:12" ht="15.75" customHeight="1" x14ac:dyDescent="0.55000000000000004">
      <c r="L656" s="3"/>
    </row>
    <row r="657" spans="12:12" ht="15.75" customHeight="1" x14ac:dyDescent="0.55000000000000004">
      <c r="L657" s="3"/>
    </row>
    <row r="658" spans="12:12" ht="15.75" customHeight="1" x14ac:dyDescent="0.55000000000000004">
      <c r="L658" s="3"/>
    </row>
    <row r="659" spans="12:12" ht="15.75" customHeight="1" x14ac:dyDescent="0.55000000000000004">
      <c r="L659" s="3"/>
    </row>
    <row r="660" spans="12:12" ht="15.75" customHeight="1" x14ac:dyDescent="0.55000000000000004">
      <c r="L660" s="3"/>
    </row>
    <row r="661" spans="12:12" ht="15.75" customHeight="1" x14ac:dyDescent="0.55000000000000004">
      <c r="L661" s="3"/>
    </row>
    <row r="662" spans="12:12" ht="15.75" customHeight="1" x14ac:dyDescent="0.55000000000000004">
      <c r="L662" s="3"/>
    </row>
    <row r="663" spans="12:12" ht="15.75" customHeight="1" x14ac:dyDescent="0.55000000000000004">
      <c r="L663" s="3"/>
    </row>
    <row r="664" spans="12:12" ht="15.75" customHeight="1" x14ac:dyDescent="0.55000000000000004">
      <c r="L664" s="3"/>
    </row>
    <row r="665" spans="12:12" ht="15.75" customHeight="1" x14ac:dyDescent="0.55000000000000004">
      <c r="L665" s="3"/>
    </row>
    <row r="666" spans="12:12" ht="15.75" customHeight="1" x14ac:dyDescent="0.55000000000000004">
      <c r="L666" s="3"/>
    </row>
    <row r="667" spans="12:12" ht="15.75" customHeight="1" x14ac:dyDescent="0.55000000000000004">
      <c r="L667" s="3"/>
    </row>
    <row r="668" spans="12:12" ht="15.75" customHeight="1" x14ac:dyDescent="0.55000000000000004">
      <c r="L668" s="3"/>
    </row>
    <row r="669" spans="12:12" ht="15.75" customHeight="1" x14ac:dyDescent="0.55000000000000004">
      <c r="L669" s="3"/>
    </row>
    <row r="670" spans="12:12" ht="15.75" customHeight="1" x14ac:dyDescent="0.55000000000000004">
      <c r="L670" s="3"/>
    </row>
    <row r="671" spans="12:12" ht="15.75" customHeight="1" x14ac:dyDescent="0.55000000000000004">
      <c r="L671" s="3"/>
    </row>
    <row r="672" spans="12:12" ht="15.75" customHeight="1" x14ac:dyDescent="0.55000000000000004">
      <c r="L672" s="3"/>
    </row>
    <row r="673" spans="12:12" ht="15.75" customHeight="1" x14ac:dyDescent="0.55000000000000004">
      <c r="L673" s="3"/>
    </row>
    <row r="674" spans="12:12" ht="15.75" customHeight="1" x14ac:dyDescent="0.55000000000000004">
      <c r="L674" s="3"/>
    </row>
    <row r="675" spans="12:12" ht="15.75" customHeight="1" x14ac:dyDescent="0.55000000000000004">
      <c r="L675" s="3"/>
    </row>
    <row r="676" spans="12:12" ht="15.75" customHeight="1" x14ac:dyDescent="0.55000000000000004">
      <c r="L676" s="3"/>
    </row>
    <row r="677" spans="12:12" ht="15.75" customHeight="1" x14ac:dyDescent="0.55000000000000004">
      <c r="L677" s="3"/>
    </row>
    <row r="678" spans="12:12" ht="15.75" customHeight="1" x14ac:dyDescent="0.55000000000000004">
      <c r="L678" s="3"/>
    </row>
    <row r="679" spans="12:12" ht="15.75" customHeight="1" x14ac:dyDescent="0.55000000000000004">
      <c r="L679" s="3"/>
    </row>
    <row r="680" spans="12:12" ht="15.75" customHeight="1" x14ac:dyDescent="0.55000000000000004">
      <c r="L680" s="3"/>
    </row>
    <row r="681" spans="12:12" ht="15.75" customHeight="1" x14ac:dyDescent="0.55000000000000004">
      <c r="L681" s="3"/>
    </row>
    <row r="682" spans="12:12" ht="15.75" customHeight="1" x14ac:dyDescent="0.55000000000000004">
      <c r="L682" s="3"/>
    </row>
    <row r="683" spans="12:12" ht="15.75" customHeight="1" x14ac:dyDescent="0.55000000000000004">
      <c r="L683" s="3"/>
    </row>
    <row r="684" spans="12:12" ht="15.75" customHeight="1" x14ac:dyDescent="0.55000000000000004">
      <c r="L684" s="3"/>
    </row>
    <row r="685" spans="12:12" ht="15.75" customHeight="1" x14ac:dyDescent="0.55000000000000004">
      <c r="L685" s="3"/>
    </row>
    <row r="686" spans="12:12" ht="15.75" customHeight="1" x14ac:dyDescent="0.55000000000000004">
      <c r="L686" s="3"/>
    </row>
    <row r="687" spans="12:12" ht="15.75" customHeight="1" x14ac:dyDescent="0.55000000000000004">
      <c r="L687" s="3"/>
    </row>
    <row r="688" spans="12:12" ht="15.75" customHeight="1" x14ac:dyDescent="0.55000000000000004">
      <c r="L688" s="3"/>
    </row>
    <row r="689" spans="12:12" ht="15.75" customHeight="1" x14ac:dyDescent="0.55000000000000004">
      <c r="L689" s="3"/>
    </row>
    <row r="690" spans="12:12" ht="15.75" customHeight="1" x14ac:dyDescent="0.55000000000000004">
      <c r="L690" s="3"/>
    </row>
    <row r="691" spans="12:12" ht="15.75" customHeight="1" x14ac:dyDescent="0.55000000000000004">
      <c r="L691" s="3"/>
    </row>
    <row r="692" spans="12:12" ht="15.75" customHeight="1" x14ac:dyDescent="0.55000000000000004">
      <c r="L692" s="3"/>
    </row>
    <row r="693" spans="12:12" ht="15.75" customHeight="1" x14ac:dyDescent="0.55000000000000004">
      <c r="L693" s="3"/>
    </row>
    <row r="694" spans="12:12" ht="15.75" customHeight="1" x14ac:dyDescent="0.55000000000000004">
      <c r="L694" s="3"/>
    </row>
    <row r="695" spans="12:12" ht="15.75" customHeight="1" x14ac:dyDescent="0.55000000000000004">
      <c r="L695" s="3"/>
    </row>
    <row r="696" spans="12:12" ht="15.75" customHeight="1" x14ac:dyDescent="0.55000000000000004">
      <c r="L696" s="3"/>
    </row>
    <row r="697" spans="12:12" ht="15.75" customHeight="1" x14ac:dyDescent="0.55000000000000004">
      <c r="L697" s="3"/>
    </row>
    <row r="698" spans="12:12" ht="15.75" customHeight="1" x14ac:dyDescent="0.55000000000000004">
      <c r="L698" s="3"/>
    </row>
    <row r="699" spans="12:12" ht="15.75" customHeight="1" x14ac:dyDescent="0.55000000000000004">
      <c r="L699" s="3"/>
    </row>
    <row r="700" spans="12:12" ht="15.75" customHeight="1" x14ac:dyDescent="0.55000000000000004">
      <c r="L700" s="3"/>
    </row>
    <row r="701" spans="12:12" ht="15.75" customHeight="1" x14ac:dyDescent="0.55000000000000004">
      <c r="L701" s="3"/>
    </row>
    <row r="702" spans="12:12" ht="15.75" customHeight="1" x14ac:dyDescent="0.55000000000000004">
      <c r="L702" s="3"/>
    </row>
    <row r="703" spans="12:12" ht="15.75" customHeight="1" x14ac:dyDescent="0.55000000000000004">
      <c r="L703" s="3"/>
    </row>
    <row r="704" spans="12:12" ht="15.75" customHeight="1" x14ac:dyDescent="0.55000000000000004">
      <c r="L704" s="3"/>
    </row>
    <row r="705" spans="12:12" ht="15.75" customHeight="1" x14ac:dyDescent="0.55000000000000004">
      <c r="L705" s="3"/>
    </row>
    <row r="706" spans="12:12" ht="15.75" customHeight="1" x14ac:dyDescent="0.55000000000000004">
      <c r="L706" s="3"/>
    </row>
    <row r="707" spans="12:12" ht="15.75" customHeight="1" x14ac:dyDescent="0.55000000000000004">
      <c r="L707" s="3"/>
    </row>
    <row r="708" spans="12:12" ht="15.75" customHeight="1" x14ac:dyDescent="0.55000000000000004">
      <c r="L708" s="3"/>
    </row>
    <row r="709" spans="12:12" ht="15.75" customHeight="1" x14ac:dyDescent="0.55000000000000004">
      <c r="L709" s="3"/>
    </row>
    <row r="710" spans="12:12" ht="15.75" customHeight="1" x14ac:dyDescent="0.55000000000000004">
      <c r="L710" s="3"/>
    </row>
    <row r="711" spans="12:12" ht="15.75" customHeight="1" x14ac:dyDescent="0.55000000000000004">
      <c r="L711" s="3"/>
    </row>
    <row r="712" spans="12:12" ht="15.75" customHeight="1" x14ac:dyDescent="0.55000000000000004">
      <c r="L712" s="3"/>
    </row>
    <row r="713" spans="12:12" ht="15.75" customHeight="1" x14ac:dyDescent="0.55000000000000004">
      <c r="L713" s="3"/>
    </row>
    <row r="714" spans="12:12" ht="15.75" customHeight="1" x14ac:dyDescent="0.55000000000000004">
      <c r="L714" s="3"/>
    </row>
    <row r="715" spans="12:12" ht="15.75" customHeight="1" x14ac:dyDescent="0.55000000000000004">
      <c r="L715" s="3"/>
    </row>
    <row r="716" spans="12:12" ht="15.75" customHeight="1" x14ac:dyDescent="0.55000000000000004">
      <c r="L716" s="3"/>
    </row>
    <row r="717" spans="12:12" ht="15.75" customHeight="1" x14ac:dyDescent="0.55000000000000004">
      <c r="L717" s="3"/>
    </row>
    <row r="718" spans="12:12" ht="15.75" customHeight="1" x14ac:dyDescent="0.55000000000000004">
      <c r="L718" s="3"/>
    </row>
    <row r="719" spans="12:12" ht="15.75" customHeight="1" x14ac:dyDescent="0.55000000000000004">
      <c r="L719" s="3"/>
    </row>
    <row r="720" spans="12:12" ht="15.75" customHeight="1" x14ac:dyDescent="0.55000000000000004">
      <c r="L720" s="3"/>
    </row>
    <row r="721" spans="12:12" ht="15.75" customHeight="1" x14ac:dyDescent="0.55000000000000004">
      <c r="L721" s="3"/>
    </row>
    <row r="722" spans="12:12" ht="15.75" customHeight="1" x14ac:dyDescent="0.55000000000000004">
      <c r="L722" s="3"/>
    </row>
    <row r="723" spans="12:12" ht="15.75" customHeight="1" x14ac:dyDescent="0.55000000000000004">
      <c r="L723" s="3"/>
    </row>
    <row r="724" spans="12:12" ht="15.75" customHeight="1" x14ac:dyDescent="0.55000000000000004">
      <c r="L724" s="3"/>
    </row>
    <row r="725" spans="12:12" ht="15.75" customHeight="1" x14ac:dyDescent="0.55000000000000004">
      <c r="L725" s="3"/>
    </row>
    <row r="726" spans="12:12" ht="15.75" customHeight="1" x14ac:dyDescent="0.55000000000000004">
      <c r="L726" s="3"/>
    </row>
    <row r="727" spans="12:12" ht="15.75" customHeight="1" x14ac:dyDescent="0.55000000000000004">
      <c r="L727" s="3"/>
    </row>
    <row r="728" spans="12:12" ht="15.75" customHeight="1" x14ac:dyDescent="0.55000000000000004">
      <c r="L728" s="3"/>
    </row>
    <row r="729" spans="12:12" ht="15.75" customHeight="1" x14ac:dyDescent="0.55000000000000004">
      <c r="L729" s="3"/>
    </row>
    <row r="730" spans="12:12" ht="15.75" customHeight="1" x14ac:dyDescent="0.55000000000000004">
      <c r="L730" s="3"/>
    </row>
    <row r="731" spans="12:12" ht="15.75" customHeight="1" x14ac:dyDescent="0.55000000000000004">
      <c r="L731" s="3"/>
    </row>
    <row r="732" spans="12:12" ht="15.75" customHeight="1" x14ac:dyDescent="0.55000000000000004">
      <c r="L732" s="3"/>
    </row>
    <row r="733" spans="12:12" ht="15.75" customHeight="1" x14ac:dyDescent="0.55000000000000004">
      <c r="L733" s="3"/>
    </row>
    <row r="734" spans="12:12" ht="15.75" customHeight="1" x14ac:dyDescent="0.55000000000000004">
      <c r="L734" s="3"/>
    </row>
    <row r="735" spans="12:12" ht="15.75" customHeight="1" x14ac:dyDescent="0.55000000000000004">
      <c r="L735" s="3"/>
    </row>
    <row r="736" spans="12:12" ht="15.75" customHeight="1" x14ac:dyDescent="0.55000000000000004">
      <c r="L736" s="3"/>
    </row>
    <row r="737" spans="12:12" ht="15.75" customHeight="1" x14ac:dyDescent="0.55000000000000004">
      <c r="L737" s="3"/>
    </row>
    <row r="738" spans="12:12" ht="15.75" customHeight="1" x14ac:dyDescent="0.55000000000000004">
      <c r="L738" s="3"/>
    </row>
    <row r="739" spans="12:12" ht="15.75" customHeight="1" x14ac:dyDescent="0.55000000000000004">
      <c r="L739" s="3"/>
    </row>
    <row r="740" spans="12:12" ht="15.75" customHeight="1" x14ac:dyDescent="0.55000000000000004">
      <c r="L740" s="3"/>
    </row>
    <row r="741" spans="12:12" ht="15.75" customHeight="1" x14ac:dyDescent="0.55000000000000004">
      <c r="L741" s="3"/>
    </row>
    <row r="742" spans="12:12" ht="15.75" customHeight="1" x14ac:dyDescent="0.55000000000000004">
      <c r="L742" s="3"/>
    </row>
    <row r="743" spans="12:12" ht="15.75" customHeight="1" x14ac:dyDescent="0.55000000000000004">
      <c r="L743" s="3"/>
    </row>
    <row r="744" spans="12:12" ht="15.75" customHeight="1" x14ac:dyDescent="0.55000000000000004">
      <c r="L744" s="3"/>
    </row>
    <row r="745" spans="12:12" ht="15.75" customHeight="1" x14ac:dyDescent="0.55000000000000004">
      <c r="L745" s="3"/>
    </row>
    <row r="746" spans="12:12" ht="15.75" customHeight="1" x14ac:dyDescent="0.55000000000000004">
      <c r="L746" s="3"/>
    </row>
    <row r="747" spans="12:12" ht="15.75" customHeight="1" x14ac:dyDescent="0.55000000000000004">
      <c r="L747" s="3"/>
    </row>
    <row r="748" spans="12:12" ht="15.75" customHeight="1" x14ac:dyDescent="0.55000000000000004">
      <c r="L748" s="3"/>
    </row>
    <row r="749" spans="12:12" ht="15.75" customHeight="1" x14ac:dyDescent="0.55000000000000004">
      <c r="L749" s="3"/>
    </row>
    <row r="750" spans="12:12" ht="15.75" customHeight="1" x14ac:dyDescent="0.55000000000000004">
      <c r="L750" s="3"/>
    </row>
    <row r="751" spans="12:12" ht="15.75" customHeight="1" x14ac:dyDescent="0.55000000000000004">
      <c r="L751" s="3"/>
    </row>
    <row r="752" spans="12:12" ht="15.75" customHeight="1" x14ac:dyDescent="0.55000000000000004">
      <c r="L752" s="3"/>
    </row>
    <row r="753" spans="12:12" ht="15.75" customHeight="1" x14ac:dyDescent="0.55000000000000004">
      <c r="L753" s="3"/>
    </row>
    <row r="754" spans="12:12" ht="15.75" customHeight="1" x14ac:dyDescent="0.55000000000000004">
      <c r="L754" s="3"/>
    </row>
    <row r="755" spans="12:12" ht="15.75" customHeight="1" x14ac:dyDescent="0.55000000000000004">
      <c r="L755" s="3"/>
    </row>
    <row r="756" spans="12:12" ht="15.75" customHeight="1" x14ac:dyDescent="0.55000000000000004">
      <c r="L756" s="3"/>
    </row>
    <row r="757" spans="12:12" ht="15.75" customHeight="1" x14ac:dyDescent="0.55000000000000004">
      <c r="L757" s="3"/>
    </row>
    <row r="758" spans="12:12" ht="15.75" customHeight="1" x14ac:dyDescent="0.55000000000000004">
      <c r="L758" s="3"/>
    </row>
    <row r="759" spans="12:12" ht="15.75" customHeight="1" x14ac:dyDescent="0.55000000000000004">
      <c r="L759" s="3"/>
    </row>
    <row r="760" spans="12:12" ht="15.75" customHeight="1" x14ac:dyDescent="0.55000000000000004">
      <c r="L760" s="3"/>
    </row>
    <row r="761" spans="12:12" ht="15.75" customHeight="1" x14ac:dyDescent="0.55000000000000004">
      <c r="L761" s="3"/>
    </row>
    <row r="762" spans="12:12" ht="15.75" customHeight="1" x14ac:dyDescent="0.55000000000000004">
      <c r="L762" s="3"/>
    </row>
    <row r="763" spans="12:12" ht="15.75" customHeight="1" x14ac:dyDescent="0.55000000000000004">
      <c r="L763" s="3"/>
    </row>
    <row r="764" spans="12:12" ht="15.75" customHeight="1" x14ac:dyDescent="0.55000000000000004">
      <c r="L764" s="3"/>
    </row>
    <row r="765" spans="12:12" ht="15.75" customHeight="1" x14ac:dyDescent="0.55000000000000004">
      <c r="L765" s="3"/>
    </row>
    <row r="766" spans="12:12" ht="15.75" customHeight="1" x14ac:dyDescent="0.55000000000000004">
      <c r="L766" s="3"/>
    </row>
    <row r="767" spans="12:12" ht="15.75" customHeight="1" x14ac:dyDescent="0.55000000000000004">
      <c r="L767" s="3"/>
    </row>
    <row r="768" spans="12:12" ht="15.75" customHeight="1" x14ac:dyDescent="0.55000000000000004">
      <c r="L768" s="3"/>
    </row>
    <row r="769" spans="12:12" ht="15.75" customHeight="1" x14ac:dyDescent="0.55000000000000004">
      <c r="L769" s="3"/>
    </row>
    <row r="770" spans="12:12" ht="15.75" customHeight="1" x14ac:dyDescent="0.55000000000000004">
      <c r="L770" s="3"/>
    </row>
    <row r="771" spans="12:12" ht="15.75" customHeight="1" x14ac:dyDescent="0.55000000000000004">
      <c r="L771" s="3"/>
    </row>
    <row r="772" spans="12:12" ht="15.75" customHeight="1" x14ac:dyDescent="0.55000000000000004">
      <c r="L772" s="3"/>
    </row>
    <row r="773" spans="12:12" ht="15.75" customHeight="1" x14ac:dyDescent="0.55000000000000004">
      <c r="L773" s="3"/>
    </row>
    <row r="774" spans="12:12" ht="15.75" customHeight="1" x14ac:dyDescent="0.55000000000000004">
      <c r="L774" s="3"/>
    </row>
    <row r="775" spans="12:12" ht="15.75" customHeight="1" x14ac:dyDescent="0.55000000000000004">
      <c r="L775" s="3"/>
    </row>
    <row r="776" spans="12:12" ht="15.75" customHeight="1" x14ac:dyDescent="0.55000000000000004">
      <c r="L776" s="3"/>
    </row>
    <row r="777" spans="12:12" ht="15.75" customHeight="1" x14ac:dyDescent="0.55000000000000004">
      <c r="L777" s="3"/>
    </row>
    <row r="778" spans="12:12" ht="15.75" customHeight="1" x14ac:dyDescent="0.55000000000000004">
      <c r="L778" s="3"/>
    </row>
    <row r="779" spans="12:12" ht="15.75" customHeight="1" x14ac:dyDescent="0.55000000000000004">
      <c r="L779" s="3"/>
    </row>
    <row r="780" spans="12:12" ht="15.75" customHeight="1" x14ac:dyDescent="0.55000000000000004">
      <c r="L780" s="3"/>
    </row>
    <row r="781" spans="12:12" ht="15.75" customHeight="1" x14ac:dyDescent="0.55000000000000004">
      <c r="L781" s="3"/>
    </row>
    <row r="782" spans="12:12" ht="15.75" customHeight="1" x14ac:dyDescent="0.55000000000000004">
      <c r="L782" s="3"/>
    </row>
    <row r="783" spans="12:12" ht="15.75" customHeight="1" x14ac:dyDescent="0.55000000000000004">
      <c r="L783" s="3"/>
    </row>
    <row r="784" spans="12:12" ht="15.75" customHeight="1" x14ac:dyDescent="0.55000000000000004">
      <c r="L784" s="3"/>
    </row>
    <row r="785" spans="12:12" ht="15.75" customHeight="1" x14ac:dyDescent="0.55000000000000004">
      <c r="L785" s="3"/>
    </row>
    <row r="786" spans="12:12" ht="15.75" customHeight="1" x14ac:dyDescent="0.55000000000000004">
      <c r="L786" s="3"/>
    </row>
    <row r="787" spans="12:12" ht="15.75" customHeight="1" x14ac:dyDescent="0.55000000000000004">
      <c r="L787" s="3"/>
    </row>
    <row r="788" spans="12:12" ht="15.75" customHeight="1" x14ac:dyDescent="0.55000000000000004">
      <c r="L788" s="3"/>
    </row>
    <row r="789" spans="12:12" ht="15.75" customHeight="1" x14ac:dyDescent="0.55000000000000004">
      <c r="L789" s="3"/>
    </row>
    <row r="790" spans="12:12" ht="15.75" customHeight="1" x14ac:dyDescent="0.55000000000000004">
      <c r="L790" s="3"/>
    </row>
    <row r="791" spans="12:12" ht="15.75" customHeight="1" x14ac:dyDescent="0.55000000000000004">
      <c r="L791" s="3"/>
    </row>
    <row r="792" spans="12:12" ht="15.75" customHeight="1" x14ac:dyDescent="0.55000000000000004">
      <c r="L792" s="3"/>
    </row>
    <row r="793" spans="12:12" ht="15.75" customHeight="1" x14ac:dyDescent="0.55000000000000004">
      <c r="L793" s="3"/>
    </row>
    <row r="794" spans="12:12" ht="15.75" customHeight="1" x14ac:dyDescent="0.55000000000000004">
      <c r="L794" s="3"/>
    </row>
    <row r="795" spans="12:12" ht="15.75" customHeight="1" x14ac:dyDescent="0.55000000000000004">
      <c r="L795" s="3"/>
    </row>
    <row r="796" spans="12:12" ht="15.75" customHeight="1" x14ac:dyDescent="0.55000000000000004">
      <c r="L796" s="3"/>
    </row>
    <row r="797" spans="12:12" ht="15.75" customHeight="1" x14ac:dyDescent="0.55000000000000004">
      <c r="L797" s="3"/>
    </row>
    <row r="798" spans="12:12" ht="15.75" customHeight="1" x14ac:dyDescent="0.55000000000000004">
      <c r="L798" s="3"/>
    </row>
    <row r="799" spans="12:12" ht="15.75" customHeight="1" x14ac:dyDescent="0.55000000000000004">
      <c r="L799" s="3"/>
    </row>
    <row r="800" spans="12:12" ht="15.75" customHeight="1" x14ac:dyDescent="0.55000000000000004">
      <c r="L800" s="3"/>
    </row>
    <row r="801" spans="12:12" ht="15.75" customHeight="1" x14ac:dyDescent="0.55000000000000004">
      <c r="L801" s="3"/>
    </row>
    <row r="802" spans="12:12" ht="15.75" customHeight="1" x14ac:dyDescent="0.55000000000000004">
      <c r="L802" s="3"/>
    </row>
    <row r="803" spans="12:12" ht="15.75" customHeight="1" x14ac:dyDescent="0.55000000000000004">
      <c r="L803" s="3"/>
    </row>
    <row r="804" spans="12:12" ht="15.75" customHeight="1" x14ac:dyDescent="0.55000000000000004">
      <c r="L804" s="3"/>
    </row>
    <row r="805" spans="12:12" ht="15.75" customHeight="1" x14ac:dyDescent="0.55000000000000004">
      <c r="L805" s="3"/>
    </row>
    <row r="806" spans="12:12" ht="15.75" customHeight="1" x14ac:dyDescent="0.55000000000000004">
      <c r="L806" s="3"/>
    </row>
    <row r="807" spans="12:12" ht="15.75" customHeight="1" x14ac:dyDescent="0.55000000000000004">
      <c r="L807" s="3"/>
    </row>
    <row r="808" spans="12:12" ht="15.75" customHeight="1" x14ac:dyDescent="0.55000000000000004">
      <c r="L808" s="3"/>
    </row>
    <row r="809" spans="12:12" ht="15.75" customHeight="1" x14ac:dyDescent="0.55000000000000004">
      <c r="L809" s="3"/>
    </row>
    <row r="810" spans="12:12" ht="15.75" customHeight="1" x14ac:dyDescent="0.55000000000000004">
      <c r="L810" s="3"/>
    </row>
    <row r="811" spans="12:12" ht="15.75" customHeight="1" x14ac:dyDescent="0.55000000000000004">
      <c r="L811" s="3"/>
    </row>
    <row r="812" spans="12:12" ht="15.75" customHeight="1" x14ac:dyDescent="0.55000000000000004">
      <c r="L812" s="3"/>
    </row>
    <row r="813" spans="12:12" ht="15.75" customHeight="1" x14ac:dyDescent="0.55000000000000004">
      <c r="L813" s="3"/>
    </row>
    <row r="814" spans="12:12" ht="15.75" customHeight="1" x14ac:dyDescent="0.55000000000000004">
      <c r="L814" s="3"/>
    </row>
    <row r="815" spans="12:12" ht="15.75" customHeight="1" x14ac:dyDescent="0.55000000000000004">
      <c r="L815" s="3"/>
    </row>
    <row r="816" spans="12:12" ht="15.75" customHeight="1" x14ac:dyDescent="0.55000000000000004">
      <c r="L816" s="3"/>
    </row>
    <row r="817" spans="12:12" ht="15.75" customHeight="1" x14ac:dyDescent="0.55000000000000004">
      <c r="L817" s="3"/>
    </row>
    <row r="818" spans="12:12" ht="15.75" customHeight="1" x14ac:dyDescent="0.55000000000000004">
      <c r="L818" s="3"/>
    </row>
    <row r="819" spans="12:12" ht="15.75" customHeight="1" x14ac:dyDescent="0.55000000000000004">
      <c r="L819" s="3"/>
    </row>
    <row r="820" spans="12:12" ht="15.75" customHeight="1" x14ac:dyDescent="0.55000000000000004">
      <c r="L820" s="3"/>
    </row>
    <row r="821" spans="12:12" ht="15.75" customHeight="1" x14ac:dyDescent="0.55000000000000004">
      <c r="L821" s="3"/>
    </row>
    <row r="822" spans="12:12" ht="15.75" customHeight="1" x14ac:dyDescent="0.55000000000000004">
      <c r="L822" s="3"/>
    </row>
    <row r="823" spans="12:12" ht="15.75" customHeight="1" x14ac:dyDescent="0.55000000000000004">
      <c r="L823" s="3"/>
    </row>
    <row r="824" spans="12:12" ht="15.75" customHeight="1" x14ac:dyDescent="0.55000000000000004">
      <c r="L824" s="3"/>
    </row>
    <row r="825" spans="12:12" ht="15.75" customHeight="1" x14ac:dyDescent="0.55000000000000004">
      <c r="L825" s="3"/>
    </row>
    <row r="826" spans="12:12" ht="15.75" customHeight="1" x14ac:dyDescent="0.55000000000000004">
      <c r="L826" s="3"/>
    </row>
    <row r="827" spans="12:12" ht="15.75" customHeight="1" x14ac:dyDescent="0.55000000000000004">
      <c r="L827" s="3"/>
    </row>
    <row r="828" spans="12:12" ht="15.75" customHeight="1" x14ac:dyDescent="0.55000000000000004">
      <c r="L828" s="3"/>
    </row>
    <row r="829" spans="12:12" ht="15.75" customHeight="1" x14ac:dyDescent="0.55000000000000004">
      <c r="L829" s="3"/>
    </row>
    <row r="830" spans="12:12" ht="15.75" customHeight="1" x14ac:dyDescent="0.55000000000000004">
      <c r="L830" s="3"/>
    </row>
    <row r="831" spans="12:12" ht="15.75" customHeight="1" x14ac:dyDescent="0.55000000000000004">
      <c r="L831" s="3"/>
    </row>
    <row r="832" spans="12:12" ht="15.75" customHeight="1" x14ac:dyDescent="0.55000000000000004">
      <c r="L832" s="3"/>
    </row>
    <row r="833" spans="12:12" ht="15.75" customHeight="1" x14ac:dyDescent="0.55000000000000004">
      <c r="L833" s="3"/>
    </row>
    <row r="834" spans="12:12" ht="15.75" customHeight="1" x14ac:dyDescent="0.55000000000000004">
      <c r="L834" s="3"/>
    </row>
    <row r="835" spans="12:12" ht="15.75" customHeight="1" x14ac:dyDescent="0.55000000000000004">
      <c r="L835" s="3"/>
    </row>
    <row r="836" spans="12:12" ht="15.75" customHeight="1" x14ac:dyDescent="0.55000000000000004">
      <c r="L836" s="3"/>
    </row>
    <row r="837" spans="12:12" ht="15.75" customHeight="1" x14ac:dyDescent="0.55000000000000004">
      <c r="L837" s="3"/>
    </row>
    <row r="838" spans="12:12" ht="15.75" customHeight="1" x14ac:dyDescent="0.55000000000000004">
      <c r="L838" s="3"/>
    </row>
    <row r="839" spans="12:12" ht="15.75" customHeight="1" x14ac:dyDescent="0.55000000000000004">
      <c r="L839" s="3"/>
    </row>
    <row r="840" spans="12:12" ht="15.75" customHeight="1" x14ac:dyDescent="0.55000000000000004">
      <c r="L840" s="3"/>
    </row>
    <row r="841" spans="12:12" ht="15.75" customHeight="1" x14ac:dyDescent="0.55000000000000004">
      <c r="L841" s="3"/>
    </row>
    <row r="842" spans="12:12" ht="15.75" customHeight="1" x14ac:dyDescent="0.55000000000000004">
      <c r="L842" s="3"/>
    </row>
    <row r="843" spans="12:12" ht="15.75" customHeight="1" x14ac:dyDescent="0.55000000000000004">
      <c r="L843" s="3"/>
    </row>
    <row r="844" spans="12:12" ht="15.75" customHeight="1" x14ac:dyDescent="0.55000000000000004">
      <c r="L844" s="3"/>
    </row>
    <row r="845" spans="12:12" ht="15.75" customHeight="1" x14ac:dyDescent="0.55000000000000004">
      <c r="L845" s="3"/>
    </row>
    <row r="846" spans="12:12" ht="15.75" customHeight="1" x14ac:dyDescent="0.55000000000000004">
      <c r="L846" s="3"/>
    </row>
    <row r="847" spans="12:12" ht="15.75" customHeight="1" x14ac:dyDescent="0.55000000000000004">
      <c r="L847" s="3"/>
    </row>
    <row r="848" spans="12:12" ht="15.75" customHeight="1" x14ac:dyDescent="0.55000000000000004">
      <c r="L848" s="3"/>
    </row>
    <row r="849" spans="12:12" ht="15.75" customHeight="1" x14ac:dyDescent="0.55000000000000004">
      <c r="L849" s="3"/>
    </row>
    <row r="850" spans="12:12" ht="15.75" customHeight="1" x14ac:dyDescent="0.55000000000000004">
      <c r="L850" s="3"/>
    </row>
    <row r="851" spans="12:12" ht="15.75" customHeight="1" x14ac:dyDescent="0.55000000000000004">
      <c r="L851" s="3"/>
    </row>
    <row r="852" spans="12:12" ht="15.75" customHeight="1" x14ac:dyDescent="0.55000000000000004">
      <c r="L852" s="3"/>
    </row>
    <row r="853" spans="12:12" ht="15.75" customHeight="1" x14ac:dyDescent="0.55000000000000004">
      <c r="L853" s="3"/>
    </row>
    <row r="854" spans="12:12" ht="15.75" customHeight="1" x14ac:dyDescent="0.55000000000000004">
      <c r="L854" s="3"/>
    </row>
    <row r="855" spans="12:12" ht="15.75" customHeight="1" x14ac:dyDescent="0.55000000000000004">
      <c r="L855" s="3"/>
    </row>
    <row r="856" spans="12:12" ht="15.75" customHeight="1" x14ac:dyDescent="0.55000000000000004">
      <c r="L856" s="3"/>
    </row>
    <row r="857" spans="12:12" ht="15.75" customHeight="1" x14ac:dyDescent="0.55000000000000004">
      <c r="L857" s="3"/>
    </row>
    <row r="858" spans="12:12" ht="15.75" customHeight="1" x14ac:dyDescent="0.55000000000000004">
      <c r="L858" s="3"/>
    </row>
    <row r="859" spans="12:12" ht="15.75" customHeight="1" x14ac:dyDescent="0.55000000000000004">
      <c r="L859" s="3"/>
    </row>
    <row r="860" spans="12:12" ht="15.75" customHeight="1" x14ac:dyDescent="0.55000000000000004">
      <c r="L860" s="3"/>
    </row>
    <row r="861" spans="12:12" ht="15.75" customHeight="1" x14ac:dyDescent="0.55000000000000004">
      <c r="L861" s="3"/>
    </row>
    <row r="862" spans="12:12" ht="15.75" customHeight="1" x14ac:dyDescent="0.55000000000000004">
      <c r="L862" s="3"/>
    </row>
    <row r="863" spans="12:12" ht="15.75" customHeight="1" x14ac:dyDescent="0.55000000000000004">
      <c r="L863" s="3"/>
    </row>
    <row r="864" spans="12:12" ht="15.75" customHeight="1" x14ac:dyDescent="0.55000000000000004">
      <c r="L864" s="3"/>
    </row>
    <row r="865" spans="12:12" ht="15.75" customHeight="1" x14ac:dyDescent="0.55000000000000004">
      <c r="L865" s="3"/>
    </row>
    <row r="866" spans="12:12" ht="15.75" customHeight="1" x14ac:dyDescent="0.55000000000000004">
      <c r="L866" s="3"/>
    </row>
    <row r="867" spans="12:12" ht="15.75" customHeight="1" x14ac:dyDescent="0.55000000000000004">
      <c r="L867" s="3"/>
    </row>
    <row r="868" spans="12:12" ht="15.75" customHeight="1" x14ac:dyDescent="0.55000000000000004">
      <c r="L868" s="3"/>
    </row>
    <row r="869" spans="12:12" ht="15.75" customHeight="1" x14ac:dyDescent="0.55000000000000004">
      <c r="L869" s="3"/>
    </row>
    <row r="870" spans="12:12" ht="15.75" customHeight="1" x14ac:dyDescent="0.55000000000000004">
      <c r="L870" s="3"/>
    </row>
    <row r="871" spans="12:12" ht="15.75" customHeight="1" x14ac:dyDescent="0.55000000000000004">
      <c r="L871" s="3"/>
    </row>
    <row r="872" spans="12:12" ht="15.75" customHeight="1" x14ac:dyDescent="0.55000000000000004">
      <c r="L872" s="3"/>
    </row>
    <row r="873" spans="12:12" ht="15.75" customHeight="1" x14ac:dyDescent="0.55000000000000004">
      <c r="L873" s="3"/>
    </row>
    <row r="874" spans="12:12" ht="15.75" customHeight="1" x14ac:dyDescent="0.55000000000000004">
      <c r="L874" s="3"/>
    </row>
    <row r="875" spans="12:12" ht="15.75" customHeight="1" x14ac:dyDescent="0.55000000000000004">
      <c r="L875" s="3"/>
    </row>
    <row r="876" spans="12:12" ht="15.75" customHeight="1" x14ac:dyDescent="0.55000000000000004">
      <c r="L876" s="3"/>
    </row>
    <row r="877" spans="12:12" ht="15.75" customHeight="1" x14ac:dyDescent="0.55000000000000004">
      <c r="L877" s="3"/>
    </row>
    <row r="878" spans="12:12" ht="15.75" customHeight="1" x14ac:dyDescent="0.55000000000000004">
      <c r="L878" s="3"/>
    </row>
    <row r="879" spans="12:12" ht="15.75" customHeight="1" x14ac:dyDescent="0.55000000000000004">
      <c r="L879" s="3"/>
    </row>
    <row r="880" spans="12:12" ht="15.75" customHeight="1" x14ac:dyDescent="0.55000000000000004">
      <c r="L880" s="3"/>
    </row>
    <row r="881" spans="12:12" ht="15.75" customHeight="1" x14ac:dyDescent="0.55000000000000004">
      <c r="L881" s="3"/>
    </row>
    <row r="882" spans="12:12" ht="15.75" customHeight="1" x14ac:dyDescent="0.55000000000000004">
      <c r="L882" s="3"/>
    </row>
    <row r="883" spans="12:12" ht="15.75" customHeight="1" x14ac:dyDescent="0.55000000000000004">
      <c r="L883" s="3"/>
    </row>
    <row r="884" spans="12:12" ht="15.75" customHeight="1" x14ac:dyDescent="0.55000000000000004">
      <c r="L884" s="3"/>
    </row>
    <row r="885" spans="12:12" ht="15.75" customHeight="1" x14ac:dyDescent="0.55000000000000004">
      <c r="L885" s="3"/>
    </row>
    <row r="886" spans="12:12" ht="15.75" customHeight="1" x14ac:dyDescent="0.55000000000000004">
      <c r="L886" s="3"/>
    </row>
    <row r="887" spans="12:12" ht="15.75" customHeight="1" x14ac:dyDescent="0.55000000000000004">
      <c r="L887" s="3"/>
    </row>
    <row r="888" spans="12:12" ht="15.75" customHeight="1" x14ac:dyDescent="0.55000000000000004">
      <c r="L888" s="3"/>
    </row>
    <row r="889" spans="12:12" ht="15.75" customHeight="1" x14ac:dyDescent="0.55000000000000004">
      <c r="L889" s="3"/>
    </row>
    <row r="890" spans="12:12" ht="15.75" customHeight="1" x14ac:dyDescent="0.55000000000000004">
      <c r="L890" s="3"/>
    </row>
    <row r="891" spans="12:12" ht="15.75" customHeight="1" x14ac:dyDescent="0.55000000000000004">
      <c r="L891" s="3"/>
    </row>
    <row r="892" spans="12:12" ht="15.75" customHeight="1" x14ac:dyDescent="0.55000000000000004">
      <c r="L892" s="3"/>
    </row>
    <row r="893" spans="12:12" ht="15.75" customHeight="1" x14ac:dyDescent="0.55000000000000004">
      <c r="L893" s="3"/>
    </row>
    <row r="894" spans="12:12" ht="15.75" customHeight="1" x14ac:dyDescent="0.55000000000000004">
      <c r="L894" s="3"/>
    </row>
    <row r="895" spans="12:12" ht="15.75" customHeight="1" x14ac:dyDescent="0.55000000000000004">
      <c r="L895" s="3"/>
    </row>
    <row r="896" spans="12:12" ht="15.75" customHeight="1" x14ac:dyDescent="0.55000000000000004">
      <c r="L896" s="3"/>
    </row>
    <row r="897" spans="12:12" ht="15.75" customHeight="1" x14ac:dyDescent="0.55000000000000004">
      <c r="L897" s="3"/>
    </row>
    <row r="898" spans="12:12" ht="15.75" customHeight="1" x14ac:dyDescent="0.55000000000000004">
      <c r="L898" s="3"/>
    </row>
    <row r="899" spans="12:12" ht="15.75" customHeight="1" x14ac:dyDescent="0.55000000000000004">
      <c r="L899" s="3"/>
    </row>
    <row r="900" spans="12:12" ht="15.75" customHeight="1" x14ac:dyDescent="0.55000000000000004">
      <c r="L900" s="3"/>
    </row>
    <row r="901" spans="12:12" ht="15.75" customHeight="1" x14ac:dyDescent="0.55000000000000004">
      <c r="L901" s="3"/>
    </row>
    <row r="902" spans="12:12" ht="15.75" customHeight="1" x14ac:dyDescent="0.55000000000000004">
      <c r="L902" s="3"/>
    </row>
    <row r="903" spans="12:12" ht="15.75" customHeight="1" x14ac:dyDescent="0.55000000000000004">
      <c r="L903" s="3"/>
    </row>
    <row r="904" spans="12:12" ht="15.75" customHeight="1" x14ac:dyDescent="0.55000000000000004">
      <c r="L904" s="3"/>
    </row>
    <row r="905" spans="12:12" ht="15.75" customHeight="1" x14ac:dyDescent="0.55000000000000004">
      <c r="L905" s="3"/>
    </row>
    <row r="906" spans="12:12" ht="15.75" customHeight="1" x14ac:dyDescent="0.55000000000000004">
      <c r="L906" s="3"/>
    </row>
    <row r="907" spans="12:12" ht="15.75" customHeight="1" x14ac:dyDescent="0.55000000000000004">
      <c r="L907" s="3"/>
    </row>
    <row r="908" spans="12:12" ht="15.75" customHeight="1" x14ac:dyDescent="0.55000000000000004">
      <c r="L908" s="3"/>
    </row>
    <row r="909" spans="12:12" ht="15.75" customHeight="1" x14ac:dyDescent="0.55000000000000004">
      <c r="L909" s="3"/>
    </row>
    <row r="910" spans="12:12" ht="15.75" customHeight="1" x14ac:dyDescent="0.55000000000000004">
      <c r="L910" s="3"/>
    </row>
    <row r="911" spans="12:12" ht="15.75" customHeight="1" x14ac:dyDescent="0.55000000000000004">
      <c r="L911" s="3"/>
    </row>
    <row r="912" spans="12:12" ht="15.75" customHeight="1" x14ac:dyDescent="0.55000000000000004">
      <c r="L912" s="3"/>
    </row>
    <row r="913" spans="12:12" ht="15.75" customHeight="1" x14ac:dyDescent="0.55000000000000004">
      <c r="L913" s="3"/>
    </row>
    <row r="914" spans="12:12" ht="15.75" customHeight="1" x14ac:dyDescent="0.55000000000000004">
      <c r="L914" s="3"/>
    </row>
    <row r="915" spans="12:12" ht="15.75" customHeight="1" x14ac:dyDescent="0.55000000000000004">
      <c r="L915" s="3"/>
    </row>
    <row r="916" spans="12:12" ht="15.75" customHeight="1" x14ac:dyDescent="0.55000000000000004">
      <c r="L916" s="3"/>
    </row>
    <row r="917" spans="12:12" ht="15.75" customHeight="1" x14ac:dyDescent="0.55000000000000004">
      <c r="L917" s="3"/>
    </row>
    <row r="918" spans="12:12" ht="15.75" customHeight="1" x14ac:dyDescent="0.55000000000000004">
      <c r="L918" s="3"/>
    </row>
    <row r="919" spans="12:12" ht="15.75" customHeight="1" x14ac:dyDescent="0.55000000000000004">
      <c r="L919" s="3"/>
    </row>
    <row r="920" spans="12:12" ht="15.75" customHeight="1" x14ac:dyDescent="0.55000000000000004">
      <c r="L920" s="3"/>
    </row>
    <row r="921" spans="12:12" ht="15.75" customHeight="1" x14ac:dyDescent="0.55000000000000004">
      <c r="L921" s="3"/>
    </row>
    <row r="922" spans="12:12" ht="15.75" customHeight="1" x14ac:dyDescent="0.55000000000000004">
      <c r="L922" s="3"/>
    </row>
    <row r="923" spans="12:12" ht="15.75" customHeight="1" x14ac:dyDescent="0.55000000000000004">
      <c r="L923" s="3"/>
    </row>
    <row r="924" spans="12:12" ht="15.75" customHeight="1" x14ac:dyDescent="0.55000000000000004">
      <c r="L924" s="3"/>
    </row>
    <row r="925" spans="12:12" ht="15.75" customHeight="1" x14ac:dyDescent="0.55000000000000004">
      <c r="L925" s="3"/>
    </row>
    <row r="926" spans="12:12" ht="15.75" customHeight="1" x14ac:dyDescent="0.55000000000000004">
      <c r="L926" s="3"/>
    </row>
    <row r="927" spans="12:12" ht="15.75" customHeight="1" x14ac:dyDescent="0.55000000000000004">
      <c r="L927" s="3"/>
    </row>
    <row r="928" spans="12:12" ht="15.75" customHeight="1" x14ac:dyDescent="0.55000000000000004">
      <c r="L928" s="3"/>
    </row>
    <row r="929" spans="12:12" ht="15.75" customHeight="1" x14ac:dyDescent="0.55000000000000004">
      <c r="L929" s="3"/>
    </row>
    <row r="930" spans="12:12" ht="15.75" customHeight="1" x14ac:dyDescent="0.55000000000000004">
      <c r="L930" s="3"/>
    </row>
    <row r="931" spans="12:12" ht="15.75" customHeight="1" x14ac:dyDescent="0.55000000000000004">
      <c r="L931" s="3"/>
    </row>
    <row r="932" spans="12:12" ht="15.75" customHeight="1" x14ac:dyDescent="0.55000000000000004">
      <c r="L932" s="3"/>
    </row>
    <row r="933" spans="12:12" ht="15.75" customHeight="1" x14ac:dyDescent="0.55000000000000004">
      <c r="L933" s="3"/>
    </row>
    <row r="934" spans="12:12" ht="15.75" customHeight="1" x14ac:dyDescent="0.55000000000000004">
      <c r="L934" s="3"/>
    </row>
    <row r="935" spans="12:12" ht="15.75" customHeight="1" x14ac:dyDescent="0.55000000000000004">
      <c r="L935" s="3"/>
    </row>
    <row r="936" spans="12:12" ht="15.75" customHeight="1" x14ac:dyDescent="0.55000000000000004">
      <c r="L936" s="3"/>
    </row>
    <row r="937" spans="12:12" ht="15.75" customHeight="1" x14ac:dyDescent="0.55000000000000004">
      <c r="L937" s="3"/>
    </row>
    <row r="938" spans="12:12" ht="15.75" customHeight="1" x14ac:dyDescent="0.55000000000000004">
      <c r="L938" s="3"/>
    </row>
    <row r="939" spans="12:12" ht="15.75" customHeight="1" x14ac:dyDescent="0.55000000000000004">
      <c r="L939" s="3"/>
    </row>
    <row r="940" spans="12:12" ht="15.75" customHeight="1" x14ac:dyDescent="0.55000000000000004">
      <c r="L940" s="3"/>
    </row>
    <row r="941" spans="12:12" ht="15.75" customHeight="1" x14ac:dyDescent="0.55000000000000004">
      <c r="L941" s="3"/>
    </row>
    <row r="942" spans="12:12" ht="15.75" customHeight="1" x14ac:dyDescent="0.55000000000000004">
      <c r="L942" s="3"/>
    </row>
    <row r="943" spans="12:12" ht="15.75" customHeight="1" x14ac:dyDescent="0.55000000000000004">
      <c r="L943" s="3"/>
    </row>
    <row r="944" spans="12:12" ht="15.75" customHeight="1" x14ac:dyDescent="0.55000000000000004">
      <c r="L944" s="3"/>
    </row>
    <row r="945" spans="12:12" ht="15.75" customHeight="1" x14ac:dyDescent="0.55000000000000004">
      <c r="L945" s="3"/>
    </row>
    <row r="946" spans="12:12" ht="15.75" customHeight="1" x14ac:dyDescent="0.55000000000000004">
      <c r="L946" s="3"/>
    </row>
    <row r="947" spans="12:12" ht="15.75" customHeight="1" x14ac:dyDescent="0.55000000000000004">
      <c r="L947" s="3"/>
    </row>
    <row r="948" spans="12:12" ht="15.75" customHeight="1" x14ac:dyDescent="0.55000000000000004">
      <c r="L948" s="3"/>
    </row>
    <row r="949" spans="12:12" ht="15.75" customHeight="1" x14ac:dyDescent="0.55000000000000004">
      <c r="L949" s="3"/>
    </row>
    <row r="950" spans="12:12" ht="15.75" customHeight="1" x14ac:dyDescent="0.55000000000000004">
      <c r="L950" s="3"/>
    </row>
    <row r="951" spans="12:12" ht="15.75" customHeight="1" x14ac:dyDescent="0.55000000000000004">
      <c r="L951" s="3"/>
    </row>
    <row r="952" spans="12:12" ht="15.75" customHeight="1" x14ac:dyDescent="0.55000000000000004">
      <c r="L952" s="3"/>
    </row>
    <row r="953" spans="12:12" ht="15.75" customHeight="1" x14ac:dyDescent="0.55000000000000004">
      <c r="L953" s="3"/>
    </row>
    <row r="954" spans="12:12" ht="15.75" customHeight="1" x14ac:dyDescent="0.55000000000000004">
      <c r="L954" s="3"/>
    </row>
    <row r="955" spans="12:12" ht="15.75" customHeight="1" x14ac:dyDescent="0.55000000000000004">
      <c r="L955" s="3"/>
    </row>
    <row r="956" spans="12:12" ht="15.75" customHeight="1" x14ac:dyDescent="0.55000000000000004">
      <c r="L956" s="3"/>
    </row>
    <row r="957" spans="12:12" ht="15.75" customHeight="1" x14ac:dyDescent="0.55000000000000004">
      <c r="L957" s="3"/>
    </row>
    <row r="958" spans="12:12" ht="15.75" customHeight="1" x14ac:dyDescent="0.55000000000000004">
      <c r="L958" s="3"/>
    </row>
    <row r="959" spans="12:12" ht="15.75" customHeight="1" x14ac:dyDescent="0.55000000000000004">
      <c r="L959" s="3"/>
    </row>
    <row r="960" spans="12:12" ht="15.75" customHeight="1" x14ac:dyDescent="0.55000000000000004">
      <c r="L960" s="3"/>
    </row>
    <row r="961" spans="12:12" ht="15.75" customHeight="1" x14ac:dyDescent="0.55000000000000004">
      <c r="L961" s="3"/>
    </row>
    <row r="962" spans="12:12" ht="15.75" customHeight="1" x14ac:dyDescent="0.55000000000000004">
      <c r="L962" s="3"/>
    </row>
    <row r="963" spans="12:12" ht="15.75" customHeight="1" x14ac:dyDescent="0.55000000000000004">
      <c r="L963" s="3"/>
    </row>
    <row r="964" spans="12:12" ht="15.75" customHeight="1" x14ac:dyDescent="0.55000000000000004">
      <c r="L964" s="3"/>
    </row>
    <row r="965" spans="12:12" ht="15.75" customHeight="1" x14ac:dyDescent="0.55000000000000004">
      <c r="L965" s="3"/>
    </row>
    <row r="966" spans="12:12" ht="15.75" customHeight="1" x14ac:dyDescent="0.55000000000000004">
      <c r="L966" s="3"/>
    </row>
    <row r="967" spans="12:12" ht="15.75" customHeight="1" x14ac:dyDescent="0.55000000000000004">
      <c r="L967" s="3"/>
    </row>
    <row r="968" spans="12:12" ht="15.75" customHeight="1" x14ac:dyDescent="0.55000000000000004">
      <c r="L968" s="3"/>
    </row>
    <row r="969" spans="12:12" ht="15.75" customHeight="1" x14ac:dyDescent="0.55000000000000004">
      <c r="L969" s="3"/>
    </row>
    <row r="970" spans="12:12" ht="15.75" customHeight="1" x14ac:dyDescent="0.55000000000000004">
      <c r="L970" s="3"/>
    </row>
    <row r="971" spans="12:12" ht="15.75" customHeight="1" x14ac:dyDescent="0.55000000000000004">
      <c r="L971" s="3"/>
    </row>
    <row r="972" spans="12:12" ht="15.75" customHeight="1" x14ac:dyDescent="0.55000000000000004">
      <c r="L972" s="3"/>
    </row>
    <row r="973" spans="12:12" ht="15.75" customHeight="1" x14ac:dyDescent="0.55000000000000004">
      <c r="L973" s="3"/>
    </row>
    <row r="974" spans="12:12" ht="15.75" customHeight="1" x14ac:dyDescent="0.55000000000000004">
      <c r="L974" s="3"/>
    </row>
    <row r="975" spans="12:12" ht="15.75" customHeight="1" x14ac:dyDescent="0.55000000000000004">
      <c r="L975" s="3"/>
    </row>
    <row r="976" spans="12:12" ht="15.75" customHeight="1" x14ac:dyDescent="0.55000000000000004">
      <c r="L976" s="3"/>
    </row>
    <row r="977" spans="12:12" ht="15.75" customHeight="1" x14ac:dyDescent="0.55000000000000004">
      <c r="L977" s="3"/>
    </row>
    <row r="978" spans="12:12" ht="15.75" customHeight="1" x14ac:dyDescent="0.55000000000000004">
      <c r="L978" s="3"/>
    </row>
    <row r="979" spans="12:12" ht="15.75" customHeight="1" x14ac:dyDescent="0.55000000000000004">
      <c r="L979" s="3"/>
    </row>
    <row r="980" spans="12:12" ht="15.75" customHeight="1" x14ac:dyDescent="0.55000000000000004">
      <c r="L980" s="3"/>
    </row>
    <row r="981" spans="12:12" ht="15.75" customHeight="1" x14ac:dyDescent="0.55000000000000004">
      <c r="L981" s="3"/>
    </row>
    <row r="982" spans="12:12" ht="15.75" customHeight="1" x14ac:dyDescent="0.55000000000000004">
      <c r="L982" s="3"/>
    </row>
    <row r="983" spans="12:12" ht="15.75" customHeight="1" x14ac:dyDescent="0.55000000000000004">
      <c r="L983" s="3"/>
    </row>
    <row r="984" spans="12:12" ht="15.75" customHeight="1" x14ac:dyDescent="0.55000000000000004">
      <c r="L984" s="3"/>
    </row>
    <row r="985" spans="12:12" ht="15.75" customHeight="1" x14ac:dyDescent="0.55000000000000004">
      <c r="L985" s="3"/>
    </row>
    <row r="986" spans="12:12" ht="15.75" customHeight="1" x14ac:dyDescent="0.55000000000000004">
      <c r="L986" s="3"/>
    </row>
    <row r="987" spans="12:12" ht="15.75" customHeight="1" x14ac:dyDescent="0.55000000000000004">
      <c r="L987" s="3"/>
    </row>
    <row r="988" spans="12:12" ht="15.75" customHeight="1" x14ac:dyDescent="0.55000000000000004">
      <c r="L988" s="3"/>
    </row>
    <row r="989" spans="12:12" ht="15.75" customHeight="1" x14ac:dyDescent="0.55000000000000004">
      <c r="L989" s="3"/>
    </row>
    <row r="990" spans="12:12" ht="15.75" customHeight="1" x14ac:dyDescent="0.55000000000000004">
      <c r="L990" s="3"/>
    </row>
    <row r="991" spans="12:12" ht="15.75" customHeight="1" x14ac:dyDescent="0.55000000000000004">
      <c r="L991" s="3"/>
    </row>
    <row r="992" spans="12:12" ht="15.75" customHeight="1" x14ac:dyDescent="0.55000000000000004">
      <c r="L992" s="3"/>
    </row>
    <row r="993" spans="12:12" ht="15.75" customHeight="1" x14ac:dyDescent="0.55000000000000004">
      <c r="L993" s="3"/>
    </row>
    <row r="994" spans="12:12" ht="15.75" customHeight="1" x14ac:dyDescent="0.55000000000000004">
      <c r="L994" s="3"/>
    </row>
    <row r="995" spans="12:12" ht="15.75" customHeight="1" x14ac:dyDescent="0.55000000000000004">
      <c r="L995" s="3"/>
    </row>
    <row r="996" spans="12:12" ht="15.75" customHeight="1" x14ac:dyDescent="0.55000000000000004">
      <c r="L996" s="3"/>
    </row>
    <row r="997" spans="12:12" ht="15.75" customHeight="1" x14ac:dyDescent="0.55000000000000004">
      <c r="L997" s="3"/>
    </row>
    <row r="998" spans="12:12" ht="15.75" customHeight="1" x14ac:dyDescent="0.55000000000000004">
      <c r="L998" s="3"/>
    </row>
    <row r="999" spans="12:12" ht="15.75" customHeight="1" x14ac:dyDescent="0.55000000000000004">
      <c r="L999" s="3"/>
    </row>
    <row r="1000" spans="12:12" ht="15.75" customHeight="1" x14ac:dyDescent="0.55000000000000004">
      <c r="L1000" s="3"/>
    </row>
  </sheetData>
  <mergeCells count="3">
    <mergeCell ref="A1:A2"/>
    <mergeCell ref="D1:H2"/>
    <mergeCell ref="J16:K28"/>
  </mergeCells>
  <conditionalFormatting sqref="B5:B10">
    <cfRule type="colorScale" priority="1">
      <colorScale>
        <cfvo type="min"/>
        <cfvo type="max"/>
        <color rgb="FFFCFCFF"/>
        <color rgb="FFF8696B"/>
      </colorScale>
    </cfRule>
  </conditionalFormatting>
  <conditionalFormatting sqref="B5:B15">
    <cfRule type="colorScale" priority="2">
      <colorScale>
        <cfvo type="min"/>
        <cfvo type="max"/>
        <color rgb="FFFCFCFF"/>
        <color rgb="FFF8696B"/>
      </colorScale>
    </cfRule>
  </conditionalFormatting>
  <conditionalFormatting sqref="C5:C9">
    <cfRule type="colorScale" priority="3">
      <colorScale>
        <cfvo type="min"/>
        <cfvo type="max"/>
        <color rgb="FFFCFCFF"/>
        <color rgb="FFF8696B"/>
      </colorScale>
    </cfRule>
  </conditionalFormatting>
  <conditionalFormatting sqref="C5:C15">
    <cfRule type="colorScale" priority="4">
      <colorScale>
        <cfvo type="min"/>
        <cfvo type="max"/>
        <color rgb="FFFCFCFF"/>
        <color rgb="FFF8696B"/>
      </colorScale>
    </cfRule>
  </conditionalFormatting>
  <conditionalFormatting sqref="D5:D9">
    <cfRule type="colorScale" priority="5">
      <colorScale>
        <cfvo type="min"/>
        <cfvo type="max"/>
        <color rgb="FFFCFCFF"/>
        <color rgb="FFF8696B"/>
      </colorScale>
    </cfRule>
  </conditionalFormatting>
  <conditionalFormatting sqref="D5:D15">
    <cfRule type="colorScale" priority="6">
      <colorScale>
        <cfvo type="min"/>
        <cfvo type="max"/>
        <color rgb="FFFCFCFF"/>
        <color rgb="FFF8696B"/>
      </colorScale>
    </cfRule>
  </conditionalFormatting>
  <conditionalFormatting sqref="E5:E15">
    <cfRule type="colorScale" priority="7">
      <colorScale>
        <cfvo type="min"/>
        <cfvo type="max"/>
        <color rgb="FFFCFCFF"/>
        <color rgb="FFF8696B"/>
      </colorScale>
    </cfRule>
  </conditionalFormatting>
  <conditionalFormatting sqref="F5:F15">
    <cfRule type="colorScale" priority="8">
      <colorScale>
        <cfvo type="min"/>
        <cfvo type="max"/>
        <color rgb="FFFCFCFF"/>
        <color rgb="FFF8696B"/>
      </colorScale>
    </cfRule>
  </conditionalFormatting>
  <conditionalFormatting sqref="G5:G15">
    <cfRule type="colorScale" priority="9">
      <colorScale>
        <cfvo type="min"/>
        <cfvo type="max"/>
        <color rgb="FFFCFCFF"/>
        <color rgb="FFF8696B"/>
      </colorScale>
    </cfRule>
  </conditionalFormatting>
  <conditionalFormatting sqref="G31:G40">
    <cfRule type="colorScale" priority="10">
      <colorScale>
        <cfvo type="min"/>
        <cfvo type="max"/>
        <color rgb="FFFCFCFF"/>
        <color rgb="FF63BE7B"/>
      </colorScale>
    </cfRule>
  </conditionalFormatting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0" zoomScaleNormal="80" workbookViewId="0">
      <pane xSplit="1" topLeftCell="B1" activePane="topRight" state="frozen"/>
      <selection pane="topRight" activeCell="E15" sqref="E15"/>
    </sheetView>
  </sheetViews>
  <sheetFormatPr defaultColWidth="14.41796875" defaultRowHeight="15" customHeight="1" x14ac:dyDescent="0.55000000000000004"/>
  <cols>
    <col min="1" max="1" width="17" customWidth="1"/>
    <col min="2" max="2" width="17.26171875" customWidth="1"/>
    <col min="3" max="3" width="20.68359375" customWidth="1"/>
    <col min="4" max="4" width="16.578125" customWidth="1"/>
    <col min="5" max="5" width="27" customWidth="1"/>
    <col min="6" max="6" width="24.83984375" customWidth="1"/>
    <col min="7" max="8" width="29" customWidth="1"/>
    <col min="9" max="9" width="30.83984375" customWidth="1"/>
    <col min="10" max="10" width="52.26171875" customWidth="1"/>
    <col min="11" max="12" width="33.26171875" customWidth="1"/>
    <col min="13" max="13" width="124" customWidth="1"/>
    <col min="14" max="14" width="204.83984375" customWidth="1"/>
    <col min="15" max="19" width="8.68359375" customWidth="1"/>
    <col min="20" max="20" width="106" customWidth="1"/>
    <col min="21" max="26" width="8.68359375" customWidth="1"/>
  </cols>
  <sheetData>
    <row r="1" spans="1:26" ht="28.8" x14ac:dyDescent="0.55000000000000004">
      <c r="A1" s="34" t="s">
        <v>4</v>
      </c>
      <c r="B1" s="34" t="s">
        <v>33</v>
      </c>
      <c r="C1" s="35" t="s">
        <v>34</v>
      </c>
      <c r="D1" s="34" t="s">
        <v>35</v>
      </c>
      <c r="E1" s="34" t="s">
        <v>36</v>
      </c>
      <c r="F1" s="34" t="s">
        <v>37</v>
      </c>
      <c r="G1" s="36" t="s">
        <v>38</v>
      </c>
      <c r="H1" s="34" t="s">
        <v>39</v>
      </c>
      <c r="I1" s="35" t="s">
        <v>40</v>
      </c>
      <c r="J1" s="35" t="s">
        <v>41</v>
      </c>
      <c r="K1" s="37" t="s">
        <v>42</v>
      </c>
      <c r="L1" s="38" t="s">
        <v>43</v>
      </c>
      <c r="M1" s="35" t="s">
        <v>44</v>
      </c>
      <c r="N1" s="35" t="s">
        <v>45</v>
      </c>
      <c r="O1" s="35" t="s">
        <v>46</v>
      </c>
      <c r="P1" s="35" t="s">
        <v>47</v>
      </c>
      <c r="Q1" s="35" t="s">
        <v>48</v>
      </c>
      <c r="R1" s="35" t="s">
        <v>49</v>
      </c>
      <c r="S1" s="35" t="s">
        <v>50</v>
      </c>
      <c r="T1" s="35" t="s">
        <v>51</v>
      </c>
      <c r="U1" s="35"/>
      <c r="V1" s="35"/>
      <c r="W1" s="35"/>
      <c r="X1" s="35"/>
      <c r="Y1" s="35"/>
      <c r="Z1" s="35"/>
    </row>
    <row r="2" spans="1:26" ht="14.4" x14ac:dyDescent="0.55000000000000004">
      <c r="A2" s="39" t="s">
        <v>13</v>
      </c>
      <c r="B2" s="39">
        <v>60</v>
      </c>
      <c r="C2" s="39">
        <v>15.4</v>
      </c>
      <c r="D2" s="39">
        <v>320</v>
      </c>
      <c r="E2" s="39">
        <v>200</v>
      </c>
      <c r="F2" s="39">
        <v>300</v>
      </c>
      <c r="G2" s="37">
        <f t="shared" ref="G2:G4" si="0">I2*H2</f>
        <v>26.880000000000003</v>
      </c>
      <c r="H2" s="39">
        <v>7.0000000000000007E-2</v>
      </c>
      <c r="I2" s="39">
        <v>384</v>
      </c>
      <c r="J2" s="39">
        <v>-1</v>
      </c>
      <c r="K2" s="40">
        <f t="shared" ref="K2:K12" si="1">L2*0.00000015*100</f>
        <v>0.129024</v>
      </c>
      <c r="L2" s="3">
        <v>8601.6</v>
      </c>
      <c r="M2" s="39" t="s">
        <v>52</v>
      </c>
      <c r="N2" s="39" t="s">
        <v>53</v>
      </c>
      <c r="O2" s="39" t="s">
        <v>54</v>
      </c>
      <c r="Q2" s="41">
        <v>15400</v>
      </c>
      <c r="R2" s="39" t="s">
        <v>55</v>
      </c>
      <c r="S2" s="39" t="s">
        <v>46</v>
      </c>
      <c r="T2" s="39" t="s">
        <v>56</v>
      </c>
    </row>
    <row r="3" spans="1:26" ht="14.4" x14ac:dyDescent="0.55000000000000004">
      <c r="A3" s="39" t="s">
        <v>14</v>
      </c>
      <c r="B3" s="39">
        <v>6</v>
      </c>
      <c r="C3" s="39">
        <v>6</v>
      </c>
      <c r="D3" s="39">
        <v>45</v>
      </c>
      <c r="E3" s="39">
        <v>50</v>
      </c>
      <c r="F3" s="39">
        <v>70</v>
      </c>
      <c r="G3" s="37">
        <f t="shared" si="0"/>
        <v>22.540000000000003</v>
      </c>
      <c r="H3" s="39">
        <v>0.23</v>
      </c>
      <c r="I3" s="39">
        <v>98</v>
      </c>
      <c r="J3" s="39">
        <v>-1</v>
      </c>
      <c r="K3" s="40">
        <f t="shared" si="1"/>
        <v>1.5214500000000002E-2</v>
      </c>
      <c r="L3" s="3">
        <v>1014.3000000000001</v>
      </c>
      <c r="M3" s="39" t="s">
        <v>57</v>
      </c>
      <c r="N3" s="39" t="s">
        <v>53</v>
      </c>
      <c r="O3" s="39" t="s">
        <v>54</v>
      </c>
      <c r="Q3" s="41">
        <v>6000</v>
      </c>
      <c r="R3" s="39" t="s">
        <v>55</v>
      </c>
      <c r="S3" s="39" t="s">
        <v>46</v>
      </c>
      <c r="T3" s="39" t="s">
        <v>58</v>
      </c>
    </row>
    <row r="4" spans="1:26" ht="14.4" x14ac:dyDescent="0.55000000000000004">
      <c r="A4" s="39" t="s">
        <v>15</v>
      </c>
      <c r="B4" s="39">
        <v>7</v>
      </c>
      <c r="C4" s="39">
        <v>4.3</v>
      </c>
      <c r="D4" s="39">
        <v>50</v>
      </c>
      <c r="E4" s="39">
        <v>70</v>
      </c>
      <c r="F4" s="39">
        <v>80</v>
      </c>
      <c r="G4" s="37">
        <f t="shared" si="0"/>
        <v>45</v>
      </c>
      <c r="H4" s="39">
        <v>18</v>
      </c>
      <c r="I4" s="39">
        <v>2.5</v>
      </c>
      <c r="J4" s="39">
        <v>-1</v>
      </c>
      <c r="K4" s="40">
        <f t="shared" si="1"/>
        <v>3.3749999999999995E-2</v>
      </c>
      <c r="L4" s="3">
        <v>2250</v>
      </c>
      <c r="M4" s="39" t="s">
        <v>59</v>
      </c>
      <c r="N4" s="39" t="s">
        <v>53</v>
      </c>
      <c r="O4" s="39" t="s">
        <v>54</v>
      </c>
      <c r="Q4" s="41">
        <v>4300</v>
      </c>
      <c r="R4" s="39" t="s">
        <v>55</v>
      </c>
      <c r="S4" s="39" t="s">
        <v>46</v>
      </c>
      <c r="T4" s="39" t="s">
        <v>60</v>
      </c>
    </row>
    <row r="5" spans="1:26" ht="14.4" x14ac:dyDescent="0.55000000000000004">
      <c r="A5" s="39" t="s">
        <v>16</v>
      </c>
      <c r="B5" s="39">
        <v>6</v>
      </c>
      <c r="C5" s="39">
        <v>1.5</v>
      </c>
      <c r="D5" s="39">
        <v>30</v>
      </c>
      <c r="E5" s="39">
        <v>50</v>
      </c>
      <c r="F5" s="39">
        <v>60</v>
      </c>
      <c r="G5" s="37">
        <f t="shared" ref="G5:G6" si="2">I5*H6</f>
        <v>3.36</v>
      </c>
      <c r="I5" s="39">
        <v>2</v>
      </c>
      <c r="J5" s="39">
        <v>-1</v>
      </c>
      <c r="K5" s="40">
        <f t="shared" si="1"/>
        <v>1.5119999999999999E-3</v>
      </c>
      <c r="L5" s="3">
        <v>100.8</v>
      </c>
      <c r="M5" s="39" t="s">
        <v>61</v>
      </c>
      <c r="N5" s="39" t="s">
        <v>53</v>
      </c>
      <c r="O5" s="39" t="s">
        <v>54</v>
      </c>
      <c r="Q5" s="41">
        <v>1500</v>
      </c>
      <c r="R5" s="39" t="s">
        <v>62</v>
      </c>
      <c r="S5" s="39" t="s">
        <v>46</v>
      </c>
      <c r="T5" s="39" t="s">
        <v>63</v>
      </c>
    </row>
    <row r="6" spans="1:26" ht="14.4" x14ac:dyDescent="0.55000000000000004">
      <c r="A6" s="39" t="s">
        <v>17</v>
      </c>
      <c r="B6" s="39">
        <v>3.5</v>
      </c>
      <c r="C6" s="39">
        <v>1</v>
      </c>
      <c r="D6" s="39">
        <v>50</v>
      </c>
      <c r="E6" s="39">
        <v>40</v>
      </c>
      <c r="F6" s="39">
        <v>50</v>
      </c>
      <c r="G6" s="37">
        <f t="shared" si="2"/>
        <v>80.64</v>
      </c>
      <c r="H6" s="39">
        <v>1.68</v>
      </c>
      <c r="I6" s="39">
        <v>384</v>
      </c>
      <c r="J6" s="39">
        <v>-1</v>
      </c>
      <c r="K6" s="40">
        <f t="shared" si="1"/>
        <v>6.0479999999999992E-2</v>
      </c>
      <c r="L6" s="3">
        <v>4032</v>
      </c>
      <c r="M6" s="39" t="s">
        <v>64</v>
      </c>
      <c r="N6" s="39" t="s">
        <v>53</v>
      </c>
      <c r="O6" s="39" t="s">
        <v>54</v>
      </c>
      <c r="Q6" s="41">
        <v>1000</v>
      </c>
      <c r="R6" s="39" t="s">
        <v>55</v>
      </c>
      <c r="S6" s="39" t="s">
        <v>46</v>
      </c>
      <c r="T6" s="39" t="s">
        <v>65</v>
      </c>
    </row>
    <row r="7" spans="1:26" ht="14.4" x14ac:dyDescent="0.55000000000000004">
      <c r="A7" s="39" t="s">
        <v>18</v>
      </c>
      <c r="B7" s="39">
        <v>4.5</v>
      </c>
      <c r="C7" s="39">
        <v>3.3</v>
      </c>
      <c r="D7" s="39">
        <v>40</v>
      </c>
      <c r="E7" s="39">
        <v>50</v>
      </c>
      <c r="F7" s="39">
        <v>60</v>
      </c>
      <c r="G7" s="37">
        <v>13</v>
      </c>
      <c r="H7" s="39">
        <v>0.21</v>
      </c>
      <c r="I7" s="39">
        <v>2.5</v>
      </c>
      <c r="J7" s="39">
        <v>-1</v>
      </c>
      <c r="K7" s="40">
        <f t="shared" si="1"/>
        <v>7.7999999999999996E-3</v>
      </c>
      <c r="L7" s="3">
        <v>520</v>
      </c>
      <c r="M7" s="39" t="s">
        <v>66</v>
      </c>
      <c r="N7" s="39" t="s">
        <v>53</v>
      </c>
      <c r="O7" s="39" t="s">
        <v>54</v>
      </c>
      <c r="Q7" s="41">
        <v>3300</v>
      </c>
      <c r="R7" s="39" t="s">
        <v>55</v>
      </c>
      <c r="S7" s="39" t="s">
        <v>46</v>
      </c>
      <c r="T7" s="39" t="s">
        <v>67</v>
      </c>
    </row>
    <row r="8" spans="1:26" ht="14.4" x14ac:dyDescent="0.55000000000000004">
      <c r="A8" s="39" t="s">
        <v>19</v>
      </c>
      <c r="B8" s="39">
        <v>1.5</v>
      </c>
      <c r="C8" s="39">
        <v>4</v>
      </c>
      <c r="D8" s="39">
        <v>3</v>
      </c>
      <c r="E8" s="39">
        <v>20</v>
      </c>
      <c r="F8" s="39">
        <v>20</v>
      </c>
      <c r="G8" s="37">
        <v>8</v>
      </c>
      <c r="J8" s="39">
        <v>0.5</v>
      </c>
      <c r="K8" s="40">
        <f t="shared" si="1"/>
        <v>3.5999999999999997E-4</v>
      </c>
      <c r="L8" s="3">
        <v>24</v>
      </c>
      <c r="M8" s="39" t="s">
        <v>68</v>
      </c>
      <c r="N8" s="39" t="s">
        <v>53</v>
      </c>
      <c r="O8" s="39" t="s">
        <v>54</v>
      </c>
      <c r="Q8" s="41">
        <v>4000</v>
      </c>
      <c r="R8" s="39" t="s">
        <v>69</v>
      </c>
      <c r="S8" s="39" t="s">
        <v>46</v>
      </c>
      <c r="T8" s="39" t="s">
        <v>70</v>
      </c>
    </row>
    <row r="9" spans="1:26" ht="14.4" x14ac:dyDescent="0.55000000000000004">
      <c r="A9" s="39" t="s">
        <v>20</v>
      </c>
      <c r="B9" s="39">
        <v>2.2999999999999998</v>
      </c>
      <c r="C9" s="39">
        <v>9</v>
      </c>
      <c r="D9" s="39">
        <v>7</v>
      </c>
      <c r="E9" s="39">
        <v>30</v>
      </c>
      <c r="F9" s="39">
        <v>30</v>
      </c>
      <c r="G9" s="37">
        <v>4</v>
      </c>
      <c r="J9" s="39">
        <v>0.2</v>
      </c>
      <c r="K9" s="40">
        <f t="shared" si="1"/>
        <v>4.1999999999999996E-4</v>
      </c>
      <c r="L9" s="3">
        <v>28</v>
      </c>
      <c r="M9" s="39" t="s">
        <v>71</v>
      </c>
      <c r="N9" s="39" t="s">
        <v>53</v>
      </c>
      <c r="O9" s="39" t="s">
        <v>54</v>
      </c>
      <c r="Q9" s="41">
        <v>9000</v>
      </c>
      <c r="R9" s="39" t="s">
        <v>72</v>
      </c>
      <c r="S9" s="39" t="s">
        <v>46</v>
      </c>
      <c r="T9" s="39" t="s">
        <v>73</v>
      </c>
    </row>
    <row r="10" spans="1:26" ht="14.4" x14ac:dyDescent="0.55000000000000004">
      <c r="A10" s="39" t="s">
        <v>21</v>
      </c>
      <c r="B10" s="39">
        <v>0.8</v>
      </c>
      <c r="C10" s="39">
        <v>0.3</v>
      </c>
      <c r="D10" s="39">
        <v>2</v>
      </c>
      <c r="E10" s="39">
        <v>10</v>
      </c>
      <c r="F10" s="39">
        <v>10</v>
      </c>
      <c r="G10" s="37">
        <v>110</v>
      </c>
      <c r="J10" s="39">
        <v>0.3</v>
      </c>
      <c r="K10" s="40">
        <f t="shared" si="1"/>
        <v>3.2999999999999995E-3</v>
      </c>
      <c r="L10" s="3">
        <v>220</v>
      </c>
      <c r="M10" s="39" t="s">
        <v>74</v>
      </c>
      <c r="N10" s="39" t="s">
        <v>53</v>
      </c>
      <c r="O10" s="39" t="s">
        <v>54</v>
      </c>
      <c r="Q10" s="39">
        <v>300</v>
      </c>
      <c r="R10" s="39" t="s">
        <v>69</v>
      </c>
      <c r="S10" s="39" t="s">
        <v>46</v>
      </c>
      <c r="T10" s="39" t="s">
        <v>75</v>
      </c>
    </row>
    <row r="11" spans="1:26" ht="14.4" x14ac:dyDescent="0.55000000000000004">
      <c r="A11" s="39" t="s">
        <v>22</v>
      </c>
      <c r="B11" s="39">
        <v>1.1000000000000001</v>
      </c>
      <c r="C11" s="39">
        <v>1</v>
      </c>
      <c r="D11" s="39">
        <v>2</v>
      </c>
      <c r="E11" s="39">
        <v>10</v>
      </c>
      <c r="F11" s="39">
        <v>10</v>
      </c>
      <c r="G11" s="37">
        <v>80</v>
      </c>
      <c r="J11" s="39">
        <v>0.2</v>
      </c>
      <c r="K11" s="40">
        <f t="shared" si="1"/>
        <v>2.4000000000000002E-3</v>
      </c>
      <c r="L11" s="3">
        <v>160</v>
      </c>
      <c r="M11" s="39" t="s">
        <v>76</v>
      </c>
      <c r="N11" s="39" t="s">
        <v>53</v>
      </c>
      <c r="O11" s="39" t="s">
        <v>54</v>
      </c>
      <c r="Q11" s="41">
        <v>1000</v>
      </c>
      <c r="R11" s="39" t="s">
        <v>69</v>
      </c>
      <c r="S11" s="39" t="s">
        <v>46</v>
      </c>
      <c r="T11" s="39" t="s">
        <v>77</v>
      </c>
    </row>
    <row r="12" spans="1:26" ht="14.4" x14ac:dyDescent="0.55000000000000004">
      <c r="A12" s="39" t="s">
        <v>23</v>
      </c>
      <c r="B12" s="39">
        <v>1</v>
      </c>
      <c r="C12" s="39">
        <v>1.5</v>
      </c>
      <c r="D12" s="39">
        <v>5</v>
      </c>
      <c r="E12" s="39">
        <v>20</v>
      </c>
      <c r="F12" s="39">
        <v>20</v>
      </c>
      <c r="G12" s="37">
        <v>110</v>
      </c>
      <c r="J12" s="39">
        <v>0.1</v>
      </c>
      <c r="K12" s="40">
        <f t="shared" si="1"/>
        <v>8.2500000000000004E-3</v>
      </c>
      <c r="L12" s="3">
        <v>550</v>
      </c>
      <c r="M12" s="39" t="s">
        <v>78</v>
      </c>
      <c r="N12" s="39" t="s">
        <v>53</v>
      </c>
      <c r="O12" s="39" t="s">
        <v>54</v>
      </c>
      <c r="Q12" s="41">
        <v>1500</v>
      </c>
      <c r="R12" s="39" t="s">
        <v>69</v>
      </c>
      <c r="S12" s="39" t="s">
        <v>46</v>
      </c>
      <c r="T12" s="39" t="s">
        <v>79</v>
      </c>
    </row>
    <row r="13" spans="1:26" ht="14.4" x14ac:dyDescent="0.55000000000000004">
      <c r="G13" s="42" t="s">
        <v>80</v>
      </c>
      <c r="K13" s="42" t="s">
        <v>81</v>
      </c>
    </row>
    <row r="14" spans="1:26" ht="14.4" x14ac:dyDescent="0.55000000000000004">
      <c r="G14" s="43" t="s">
        <v>82</v>
      </c>
      <c r="H14" s="43" t="s">
        <v>83</v>
      </c>
      <c r="I14" s="43" t="s">
        <v>84</v>
      </c>
      <c r="K14" s="44"/>
    </row>
    <row r="15" spans="1:26" ht="14.4" x14ac:dyDescent="0.55000000000000004">
      <c r="G15" s="45" t="s">
        <v>85</v>
      </c>
      <c r="H15" s="42" t="s">
        <v>86</v>
      </c>
      <c r="I15" s="42" t="s">
        <v>87</v>
      </c>
      <c r="K15" s="46" t="s">
        <v>88</v>
      </c>
    </row>
    <row r="16" spans="1:26" ht="14.4" x14ac:dyDescent="0.55000000000000004">
      <c r="G16" s="45" t="s">
        <v>89</v>
      </c>
      <c r="H16" s="42" t="s">
        <v>90</v>
      </c>
      <c r="I16" s="42" t="s">
        <v>87</v>
      </c>
      <c r="K16" s="44"/>
    </row>
    <row r="17" spans="3:16" ht="14.4" x14ac:dyDescent="0.55000000000000004">
      <c r="C17" s="41"/>
      <c r="G17" s="45" t="s">
        <v>91</v>
      </c>
      <c r="H17" s="42" t="s">
        <v>92</v>
      </c>
      <c r="I17" s="42" t="s">
        <v>87</v>
      </c>
      <c r="K17" s="44"/>
    </row>
    <row r="18" spans="3:16" ht="14.4" x14ac:dyDescent="0.55000000000000004">
      <c r="C18" s="41"/>
      <c r="K18" s="44"/>
    </row>
    <row r="19" spans="3:16" ht="14.4" x14ac:dyDescent="0.55000000000000004">
      <c r="C19" s="41"/>
      <c r="K19" s="46" t="s">
        <v>93</v>
      </c>
    </row>
    <row r="20" spans="3:16" ht="14.4" x14ac:dyDescent="0.55000000000000004">
      <c r="C20" s="41"/>
      <c r="G20" s="42" t="s">
        <v>94</v>
      </c>
      <c r="K20" s="44"/>
    </row>
    <row r="21" spans="3:16" ht="15.75" customHeight="1" x14ac:dyDescent="0.55000000000000004">
      <c r="C21" s="41"/>
      <c r="G21" s="43" t="s">
        <v>95</v>
      </c>
      <c r="H21" s="43" t="s">
        <v>96</v>
      </c>
      <c r="I21" s="43" t="s">
        <v>97</v>
      </c>
      <c r="K21" s="44" t="s">
        <v>98</v>
      </c>
    </row>
    <row r="22" spans="3:16" ht="15.75" customHeight="1" x14ac:dyDescent="0.55000000000000004">
      <c r="C22" s="41"/>
      <c r="G22" s="45" t="s">
        <v>85</v>
      </c>
      <c r="H22" s="42" t="s">
        <v>86</v>
      </c>
      <c r="I22" s="42" t="s">
        <v>99</v>
      </c>
      <c r="K22" s="44"/>
    </row>
    <row r="23" spans="3:16" ht="15.75" customHeight="1" x14ac:dyDescent="0.55000000000000004">
      <c r="C23" s="41"/>
      <c r="G23" s="45" t="s">
        <v>89</v>
      </c>
      <c r="H23" s="42" t="s">
        <v>90</v>
      </c>
      <c r="I23" s="42" t="s">
        <v>100</v>
      </c>
      <c r="K23" s="44" t="s">
        <v>101</v>
      </c>
    </row>
    <row r="24" spans="3:16" ht="15.75" customHeight="1" x14ac:dyDescent="0.55000000000000004">
      <c r="C24" s="41"/>
      <c r="G24" s="45" t="s">
        <v>91</v>
      </c>
      <c r="H24" s="42" t="s">
        <v>92</v>
      </c>
      <c r="I24" s="42" t="s">
        <v>102</v>
      </c>
      <c r="K24" s="44"/>
    </row>
    <row r="25" spans="3:16" ht="15.75" customHeight="1" x14ac:dyDescent="0.55000000000000004">
      <c r="G25" s="45" t="s">
        <v>18</v>
      </c>
      <c r="H25" s="42" t="s">
        <v>103</v>
      </c>
      <c r="I25" s="42" t="s">
        <v>104</v>
      </c>
      <c r="K25" s="44"/>
    </row>
    <row r="26" spans="3:16" ht="15.75" customHeight="1" x14ac:dyDescent="0.55000000000000004">
      <c r="C26" s="41"/>
      <c r="G26" s="45" t="s">
        <v>17</v>
      </c>
      <c r="H26" s="42" t="s">
        <v>105</v>
      </c>
      <c r="I26" s="42" t="s">
        <v>106</v>
      </c>
      <c r="K26" s="44"/>
    </row>
    <row r="27" spans="3:16" ht="15.75" customHeight="1" x14ac:dyDescent="0.55000000000000004">
      <c r="C27" s="41"/>
      <c r="K27" s="47" t="s">
        <v>107</v>
      </c>
    </row>
    <row r="28" spans="3:16" ht="15.75" customHeight="1" x14ac:dyDescent="0.55000000000000004">
      <c r="G28" s="42" t="s">
        <v>108</v>
      </c>
      <c r="K28" s="44"/>
    </row>
    <row r="29" spans="3:16" ht="15.75" customHeight="1" x14ac:dyDescent="0.55000000000000004">
      <c r="G29" s="43" t="s">
        <v>82</v>
      </c>
      <c r="H29" s="43" t="s">
        <v>83</v>
      </c>
      <c r="I29" s="43" t="s">
        <v>84</v>
      </c>
      <c r="K29" s="46" t="s">
        <v>109</v>
      </c>
    </row>
    <row r="30" spans="3:16" ht="15.75" customHeight="1" x14ac:dyDescent="0.55000000000000004">
      <c r="G30" s="45" t="s">
        <v>85</v>
      </c>
      <c r="H30" s="42" t="s">
        <v>110</v>
      </c>
      <c r="I30" s="42" t="s">
        <v>111</v>
      </c>
    </row>
    <row r="31" spans="3:16" ht="18" customHeight="1" x14ac:dyDescent="0.55000000000000004">
      <c r="G31" s="45" t="s">
        <v>89</v>
      </c>
      <c r="H31" s="42" t="s">
        <v>112</v>
      </c>
      <c r="I31" s="42" t="s">
        <v>113</v>
      </c>
      <c r="P31" s="48" t="s">
        <v>114</v>
      </c>
    </row>
    <row r="32" spans="3:16" ht="15.75" customHeight="1" x14ac:dyDescent="0.55000000000000004">
      <c r="G32" s="45" t="s">
        <v>91</v>
      </c>
      <c r="H32" s="42" t="s">
        <v>115</v>
      </c>
      <c r="I32" s="42" t="s">
        <v>113</v>
      </c>
    </row>
    <row r="33" spans="16:19" ht="15.75" customHeight="1" x14ac:dyDescent="0.55000000000000004">
      <c r="P33" s="43" t="s">
        <v>4</v>
      </c>
      <c r="Q33" s="43" t="s">
        <v>116</v>
      </c>
      <c r="R33" s="43" t="s">
        <v>117</v>
      </c>
      <c r="S33" s="43" t="s">
        <v>118</v>
      </c>
    </row>
    <row r="34" spans="16:19" ht="15.75" customHeight="1" x14ac:dyDescent="0.55000000000000004">
      <c r="P34" s="45" t="s">
        <v>13</v>
      </c>
      <c r="Q34" s="42" t="s">
        <v>119</v>
      </c>
      <c r="R34" s="42" t="s">
        <v>120</v>
      </c>
      <c r="S34" s="42" t="s">
        <v>121</v>
      </c>
    </row>
    <row r="35" spans="16:19" ht="15.75" customHeight="1" x14ac:dyDescent="0.55000000000000004">
      <c r="P35" s="45" t="s">
        <v>14</v>
      </c>
      <c r="Q35" s="42" t="s">
        <v>122</v>
      </c>
      <c r="R35" s="42" t="s">
        <v>123</v>
      </c>
      <c r="S35" s="42" t="s">
        <v>124</v>
      </c>
    </row>
    <row r="36" spans="16:19" ht="15.75" customHeight="1" x14ac:dyDescent="0.55000000000000004">
      <c r="P36" s="45" t="s">
        <v>15</v>
      </c>
      <c r="Q36" s="42" t="s">
        <v>125</v>
      </c>
      <c r="R36" s="42" t="s">
        <v>126</v>
      </c>
      <c r="S36" s="42" t="s">
        <v>127</v>
      </c>
    </row>
    <row r="37" spans="16:19" ht="15.75" customHeight="1" x14ac:dyDescent="0.55000000000000004">
      <c r="P37" s="45" t="s">
        <v>16</v>
      </c>
      <c r="Q37" s="42" t="s">
        <v>128</v>
      </c>
      <c r="R37" s="42" t="s">
        <v>129</v>
      </c>
      <c r="S37" s="42" t="s">
        <v>130</v>
      </c>
    </row>
    <row r="38" spans="16:19" ht="15.75" customHeight="1" x14ac:dyDescent="0.55000000000000004">
      <c r="P38" s="45" t="s">
        <v>17</v>
      </c>
      <c r="Q38" s="42" t="s">
        <v>131</v>
      </c>
      <c r="R38" s="42" t="s">
        <v>132</v>
      </c>
      <c r="S38" s="42" t="s">
        <v>133</v>
      </c>
    </row>
    <row r="39" spans="16:19" ht="15.75" customHeight="1" x14ac:dyDescent="0.55000000000000004">
      <c r="P39" s="45" t="s">
        <v>18</v>
      </c>
      <c r="Q39" s="42" t="s">
        <v>131</v>
      </c>
      <c r="R39" s="42" t="s">
        <v>134</v>
      </c>
      <c r="S39" s="42" t="s">
        <v>135</v>
      </c>
    </row>
    <row r="40" spans="16:19" ht="15.75" customHeight="1" x14ac:dyDescent="0.55000000000000004"/>
    <row r="41" spans="16:19" ht="15.75" customHeight="1" x14ac:dyDescent="0.55000000000000004"/>
    <row r="42" spans="16:19" ht="15.75" customHeight="1" x14ac:dyDescent="0.55000000000000004"/>
    <row r="43" spans="16:19" ht="15.75" customHeight="1" x14ac:dyDescent="0.55000000000000004"/>
    <row r="44" spans="16:19" ht="15.75" customHeight="1" x14ac:dyDescent="0.55000000000000004"/>
    <row r="45" spans="16:19" ht="15.75" customHeight="1" x14ac:dyDescent="0.55000000000000004"/>
    <row r="46" spans="16:19" ht="15.75" customHeight="1" x14ac:dyDescent="0.55000000000000004"/>
    <row r="47" spans="16:19" ht="15.75" customHeight="1" x14ac:dyDescent="0.55000000000000004"/>
    <row r="48" spans="16:19" ht="15.75" customHeight="1" x14ac:dyDescent="0.55000000000000004"/>
    <row r="49" spans="1:2" ht="15.75" customHeight="1" x14ac:dyDescent="0.55000000000000004"/>
    <row r="50" spans="1:2" ht="15.75" customHeight="1" x14ac:dyDescent="0.55000000000000004"/>
    <row r="51" spans="1:2" ht="15.75" customHeight="1" x14ac:dyDescent="0.55000000000000004"/>
    <row r="52" spans="1:2" ht="15.75" customHeight="1" x14ac:dyDescent="0.55000000000000004"/>
    <row r="53" spans="1:2" ht="15.75" customHeight="1" x14ac:dyDescent="0.55000000000000004"/>
    <row r="54" spans="1:2" ht="15.75" customHeight="1" x14ac:dyDescent="0.55000000000000004"/>
    <row r="55" spans="1:2" ht="15.75" customHeight="1" x14ac:dyDescent="0.55000000000000004"/>
    <row r="56" spans="1:2" ht="15.75" customHeight="1" x14ac:dyDescent="0.55000000000000004">
      <c r="A56" s="49"/>
      <c r="B56" s="50"/>
    </row>
    <row r="57" spans="1:2" ht="15.75" customHeight="1" x14ac:dyDescent="0.55000000000000004"/>
    <row r="58" spans="1:2" ht="15.75" customHeight="1" x14ac:dyDescent="0.55000000000000004"/>
    <row r="59" spans="1:2" ht="15.75" customHeight="1" x14ac:dyDescent="0.55000000000000004"/>
    <row r="60" spans="1:2" ht="15.75" customHeight="1" x14ac:dyDescent="0.55000000000000004"/>
    <row r="61" spans="1:2" ht="15.75" customHeight="1" x14ac:dyDescent="0.55000000000000004"/>
    <row r="62" spans="1:2" ht="15.75" customHeight="1" x14ac:dyDescent="0.55000000000000004"/>
    <row r="63" spans="1:2" ht="15.75" customHeight="1" x14ac:dyDescent="0.55000000000000004"/>
    <row r="64" spans="1:2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spans="3:3" ht="15.75" customHeight="1" x14ac:dyDescent="0.55000000000000004"/>
    <row r="82" spans="3:3" ht="15.75" customHeight="1" x14ac:dyDescent="0.55000000000000004"/>
    <row r="83" spans="3:3" ht="15.75" customHeight="1" x14ac:dyDescent="0.55000000000000004"/>
    <row r="84" spans="3:3" ht="15.75" customHeight="1" x14ac:dyDescent="0.55000000000000004"/>
    <row r="85" spans="3:3" ht="15.75" customHeight="1" x14ac:dyDescent="0.55000000000000004"/>
    <row r="86" spans="3:3" ht="15.75" customHeight="1" x14ac:dyDescent="0.55000000000000004"/>
    <row r="87" spans="3:3" ht="15.75" customHeight="1" x14ac:dyDescent="0.55000000000000004">
      <c r="C87" s="51"/>
    </row>
    <row r="88" spans="3:3" ht="15.75" customHeight="1" x14ac:dyDescent="0.55000000000000004">
      <c r="C88" s="51"/>
    </row>
    <row r="89" spans="3:3" ht="15.75" customHeight="1" x14ac:dyDescent="0.55000000000000004">
      <c r="C89" s="51"/>
    </row>
    <row r="90" spans="3:3" ht="15.75" customHeight="1" x14ac:dyDescent="0.55000000000000004">
      <c r="C90" s="51"/>
    </row>
    <row r="91" spans="3:3" ht="15.75" customHeight="1" x14ac:dyDescent="0.55000000000000004"/>
    <row r="92" spans="3:3" ht="15.75" customHeight="1" x14ac:dyDescent="0.55000000000000004"/>
    <row r="93" spans="3:3" ht="15.75" customHeight="1" x14ac:dyDescent="0.55000000000000004"/>
    <row r="94" spans="3:3" ht="15.75" customHeight="1" x14ac:dyDescent="0.55000000000000004"/>
    <row r="95" spans="3:3" ht="15.75" customHeight="1" x14ac:dyDescent="0.55000000000000004"/>
    <row r="96" spans="3:3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hyperlinks>
    <hyperlink ref="K27" r:id="rId1" xr:uid="{00000000-0004-0000-0100-000000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1796875" defaultRowHeight="15" customHeight="1" x14ac:dyDescent="0.55000000000000004"/>
  <cols>
    <col min="1" max="1" width="24.578125" customWidth="1"/>
    <col min="2" max="2" width="33.578125" customWidth="1"/>
    <col min="3" max="26" width="8.68359375" customWidth="1"/>
  </cols>
  <sheetData>
    <row r="1" spans="1:2" ht="14.4" x14ac:dyDescent="0.55000000000000004">
      <c r="A1" s="39" t="s">
        <v>136</v>
      </c>
    </row>
    <row r="3" spans="1:2" ht="14.4" x14ac:dyDescent="0.55000000000000004">
      <c r="A3" s="39" t="s">
        <v>137</v>
      </c>
      <c r="B3" s="39" t="s">
        <v>138</v>
      </c>
    </row>
    <row r="4" spans="1:2" ht="14.4" x14ac:dyDescent="0.55000000000000004">
      <c r="B4" s="39" t="s">
        <v>139</v>
      </c>
    </row>
    <row r="5" spans="1:2" ht="14.4" x14ac:dyDescent="0.55000000000000004">
      <c r="B5" s="39" t="s">
        <v>140</v>
      </c>
    </row>
    <row r="21" ht="15.75" customHeight="1" x14ac:dyDescent="0.55000000000000004"/>
    <row r="22" ht="15.75" customHeight="1" x14ac:dyDescent="0.55000000000000004"/>
    <row r="23" ht="15.75" customHeight="1" x14ac:dyDescent="0.55000000000000004"/>
    <row r="24" ht="15.75" customHeight="1" x14ac:dyDescent="0.55000000000000004"/>
    <row r="25" ht="15.75" customHeight="1" x14ac:dyDescent="0.55000000000000004"/>
    <row r="26" ht="15.75" customHeight="1" x14ac:dyDescent="0.55000000000000004"/>
    <row r="27" ht="15.75" customHeight="1" x14ac:dyDescent="0.55000000000000004"/>
    <row r="28" ht="15.75" customHeight="1" x14ac:dyDescent="0.55000000000000004"/>
    <row r="29" ht="15.75" customHeight="1" x14ac:dyDescent="0.55000000000000004"/>
    <row r="30" ht="15.75" customHeight="1" x14ac:dyDescent="0.55000000000000004"/>
    <row r="31" ht="15.75" customHeight="1" x14ac:dyDescent="0.55000000000000004"/>
    <row r="32" ht="15.75" customHeight="1" x14ac:dyDescent="0.55000000000000004"/>
    <row r="33" ht="15.75" customHeight="1" x14ac:dyDescent="0.55000000000000004"/>
    <row r="34" ht="15.75" customHeight="1" x14ac:dyDescent="0.55000000000000004"/>
    <row r="35" ht="15.75" customHeight="1" x14ac:dyDescent="0.55000000000000004"/>
    <row r="36" ht="15.75" customHeight="1" x14ac:dyDescent="0.55000000000000004"/>
    <row r="37" ht="15.75" customHeight="1" x14ac:dyDescent="0.55000000000000004"/>
    <row r="38" ht="15.75" customHeight="1" x14ac:dyDescent="0.55000000000000004"/>
    <row r="39" ht="15.75" customHeight="1" x14ac:dyDescent="0.55000000000000004"/>
    <row r="40" ht="15.75" customHeight="1" x14ac:dyDescent="0.55000000000000004"/>
    <row r="41" ht="15.75" customHeight="1" x14ac:dyDescent="0.55000000000000004"/>
    <row r="42" ht="15.75" customHeight="1" x14ac:dyDescent="0.55000000000000004"/>
    <row r="43" ht="15.75" customHeight="1" x14ac:dyDescent="0.55000000000000004"/>
    <row r="44" ht="15.75" customHeight="1" x14ac:dyDescent="0.55000000000000004"/>
    <row r="45" ht="15.75" customHeight="1" x14ac:dyDescent="0.55000000000000004"/>
    <row r="46" ht="15.75" customHeight="1" x14ac:dyDescent="0.55000000000000004"/>
    <row r="47" ht="15.75" customHeight="1" x14ac:dyDescent="0.55000000000000004"/>
    <row r="48" ht="15.75" customHeight="1" x14ac:dyDescent="0.55000000000000004"/>
    <row r="49" ht="15.75" customHeight="1" x14ac:dyDescent="0.55000000000000004"/>
    <row r="50" ht="15.75" customHeight="1" x14ac:dyDescent="0.55000000000000004"/>
    <row r="51" ht="15.75" customHeight="1" x14ac:dyDescent="0.55000000000000004"/>
    <row r="52" ht="15.75" customHeight="1" x14ac:dyDescent="0.55000000000000004"/>
    <row r="53" ht="15.75" customHeight="1" x14ac:dyDescent="0.55000000000000004"/>
    <row r="54" ht="15.75" customHeight="1" x14ac:dyDescent="0.55000000000000004"/>
    <row r="55" ht="15.75" customHeight="1" x14ac:dyDescent="0.55000000000000004"/>
    <row r="56" ht="15.75" customHeight="1" x14ac:dyDescent="0.55000000000000004"/>
    <row r="57" ht="15.75" customHeight="1" x14ac:dyDescent="0.55000000000000004"/>
    <row r="58" ht="15.75" customHeight="1" x14ac:dyDescent="0.55000000000000004"/>
    <row r="59" ht="15.75" customHeight="1" x14ac:dyDescent="0.55000000000000004"/>
    <row r="60" ht="15.75" customHeight="1" x14ac:dyDescent="0.55000000000000004"/>
    <row r="61" ht="15.75" customHeight="1" x14ac:dyDescent="0.55000000000000004"/>
    <row r="62" ht="15.75" customHeight="1" x14ac:dyDescent="0.55000000000000004"/>
    <row r="63" ht="15.75" customHeight="1" x14ac:dyDescent="0.55000000000000004"/>
    <row r="64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Data Source</vt:lpstr>
      <vt:lpstr>Enhancements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Gena Falzon</cp:lastModifiedBy>
  <dcterms:created xsi:type="dcterms:W3CDTF">2025-05-29T23:14:57Z</dcterms:created>
  <dcterms:modified xsi:type="dcterms:W3CDTF">2025-10-14T17:36:02Z</dcterms:modified>
</cp:coreProperties>
</file>